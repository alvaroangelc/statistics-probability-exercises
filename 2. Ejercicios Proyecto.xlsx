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4cfa2eacf6b34909/cursosPlatzi/Data Science and AI/estadisticaYProbabilidad/"/>
    </mc:Choice>
  </mc:AlternateContent>
  <xr:revisionPtr revIDLastSave="2114" documentId="8_{7230FDE8-1A54-485E-BE21-88C6B5EA7373}" xr6:coauthVersionLast="47" xr6:coauthVersionMax="47" xr10:uidLastSave="{90692A72-0456-4FCB-BD65-7DA7FA01E95C}"/>
  <bookViews>
    <workbookView xWindow="-108" yWindow="-108" windowWidth="23256" windowHeight="12456" firstSheet="6" activeTab="11" xr2:uid="{DA9B5A89-DFA9-4DB0-94B0-B5C0719A5910}"/>
  </bookViews>
  <sheets>
    <sheet name="Ex_4" sheetId="1" r:id="rId1"/>
    <sheet name="Ex_5" sheetId="2" r:id="rId2"/>
    <sheet name="Ex_6" sheetId="4" r:id="rId3"/>
    <sheet name="Ex_7, 8" sheetId="5" r:id="rId4"/>
    <sheet name="Ex_9, 10" sheetId="6" r:id="rId5"/>
    <sheet name="QUIZ" sheetId="7" r:id="rId6"/>
    <sheet name="Ex_12" sheetId="8" r:id="rId7"/>
    <sheet name="Ex_13" sheetId="9" r:id="rId8"/>
    <sheet name="Ex_14" sheetId="10" r:id="rId9"/>
    <sheet name="Ex_15" sheetId="11" r:id="rId10"/>
    <sheet name="Ex_16" sheetId="12" r:id="rId11"/>
    <sheet name="Ex_27" sheetId="13" r:id="rId12"/>
  </sheets>
  <definedNames>
    <definedName name="_xlchart.v1.0" hidden="1">'Ex_9, 10'!$AE$2</definedName>
    <definedName name="_xlchart.v1.1" hidden="1">'Ex_9, 10'!$AF$2:$AZ$2</definedName>
    <definedName name="_xlchart.v1.2" hidden="1">Ex_13!$G$3:$M$3</definedName>
    <definedName name="_xlchart.v1.3" hidden="1">Ex_16!$N$2</definedName>
    <definedName name="_xlchart.v1.4" hidden="1">Ex_16!$N$3:$N$26</definedName>
  </definedNames>
  <calcPr calcId="191029"/>
  <pivotCaches>
    <pivotCache cacheId="0" r:id="rId13"/>
    <pivotCache cacheId="1" r:id="rId14"/>
    <pivotCache cacheId="2" r:id="rId15"/>
    <pivotCache cacheId="3" r:id="rId16"/>
    <pivotCache cacheId="4" r:id="rId17"/>
    <pivotCache cacheId="5"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6" l="1"/>
  <c r="K21" i="7"/>
  <c r="K22" i="7" s="1"/>
  <c r="K24" i="12"/>
  <c r="K20" i="7"/>
  <c r="K19" i="7"/>
  <c r="K23" i="12"/>
  <c r="K21" i="12"/>
  <c r="K22" i="12" s="1"/>
  <c r="K17" i="12"/>
  <c r="K16" i="12"/>
  <c r="K15" i="12"/>
  <c r="K14" i="12"/>
  <c r="K13" i="12"/>
  <c r="K12" i="12"/>
  <c r="K11" i="12"/>
  <c r="E11" i="10"/>
  <c r="E10" i="10"/>
  <c r="E9" i="10"/>
  <c r="E5" i="10"/>
  <c r="F5" i="10"/>
  <c r="G5" i="10"/>
  <c r="H5" i="10"/>
  <c r="D5" i="10"/>
  <c r="D11" i="10"/>
  <c r="D10" i="10"/>
  <c r="D9" i="10"/>
  <c r="C12" i="9"/>
  <c r="C11" i="9"/>
  <c r="C10" i="9"/>
  <c r="C9" i="9"/>
  <c r="C7" i="9"/>
  <c r="C6" i="9"/>
  <c r="C8" i="9"/>
  <c r="F5" i="8"/>
  <c r="F4" i="8"/>
  <c r="D13" i="7"/>
  <c r="S6" i="7" a="1"/>
  <c r="S6" i="7" s="1"/>
  <c r="S5" i="7"/>
  <c r="S4" i="7"/>
  <c r="M10" i="7"/>
  <c r="M9" i="7"/>
  <c r="K11" i="7"/>
  <c r="L11" i="7"/>
  <c r="J11" i="7"/>
  <c r="K18" i="12" l="1"/>
  <c r="K19" i="12" s="1"/>
  <c r="M11" i="7"/>
  <c r="K20" i="12" l="1"/>
  <c r="E13" i="7"/>
  <c r="F13" i="7"/>
  <c r="G10" i="7"/>
  <c r="G11" i="7"/>
  <c r="G12" i="7"/>
  <c r="G9" i="7"/>
  <c r="AF7" i="6"/>
  <c r="AF5" i="6"/>
  <c r="AF6" i="6"/>
  <c r="AF8" i="6"/>
  <c r="AF4" i="6"/>
  <c r="Z7" i="6"/>
  <c r="Z6" i="6"/>
  <c r="Z5" i="6"/>
  <c r="Z4" i="6"/>
  <c r="Z3" i="6"/>
  <c r="Y7" i="6"/>
  <c r="Y6" i="6"/>
  <c r="Y5" i="6"/>
  <c r="Y4" i="6"/>
  <c r="Y3" i="6"/>
  <c r="S4" i="6"/>
  <c r="S5" i="6"/>
  <c r="S6" i="6"/>
  <c r="S7" i="6"/>
  <c r="S8" i="6"/>
  <c r="S9" i="6"/>
  <c r="S10" i="6"/>
  <c r="S11" i="6"/>
  <c r="S12" i="6"/>
  <c r="S13" i="6"/>
  <c r="S14" i="6"/>
  <c r="S15" i="6"/>
  <c r="S16" i="6"/>
  <c r="S17" i="6"/>
  <c r="S18" i="6"/>
  <c r="S19" i="6"/>
  <c r="S20" i="6"/>
  <c r="S21" i="6"/>
  <c r="S22" i="6"/>
  <c r="S23" i="6"/>
  <c r="S3" i="6"/>
  <c r="X7" i="6"/>
  <c r="X6" i="6"/>
  <c r="X5" i="6"/>
  <c r="X4" i="6"/>
  <c r="X3" i="6"/>
  <c r="R4" i="6"/>
  <c r="R5" i="6"/>
  <c r="R6" i="6"/>
  <c r="R7" i="6"/>
  <c r="R8" i="6"/>
  <c r="R9" i="6"/>
  <c r="R10" i="6"/>
  <c r="R11" i="6"/>
  <c r="R12" i="6"/>
  <c r="R13" i="6"/>
  <c r="R14" i="6"/>
  <c r="R15" i="6"/>
  <c r="R16" i="6"/>
  <c r="R17" i="6"/>
  <c r="R18" i="6"/>
  <c r="R19" i="6"/>
  <c r="R20" i="6"/>
  <c r="R21" i="6"/>
  <c r="R22" i="6"/>
  <c r="R23" i="6"/>
  <c r="R3" i="6"/>
  <c r="W7" i="6"/>
  <c r="W5" i="6"/>
  <c r="W4" i="6"/>
  <c r="W6" i="6"/>
  <c r="W3" i="6"/>
  <c r="M10" i="6"/>
  <c r="M9" i="6"/>
  <c r="E9" i="6"/>
  <c r="F6" i="5"/>
  <c r="F5" i="5"/>
  <c r="F4" i="5"/>
  <c r="C7" i="5"/>
  <c r="E12" i="4"/>
  <c r="E9" i="4"/>
  <c r="E10" i="4"/>
  <c r="E11" i="4"/>
  <c r="C12" i="4"/>
  <c r="D12" i="4"/>
  <c r="G13"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<sst xmlns="http://schemas.openxmlformats.org/spreadsheetml/2006/main" count="158" uniqueCount="94">
  <si>
    <t>Colores</t>
  </si>
  <si>
    <t>Número de colores</t>
  </si>
  <si>
    <t>Grand Total</t>
  </si>
  <si>
    <t>1-5</t>
  </si>
  <si>
    <t>6-10</t>
  </si>
  <si>
    <t>11-15</t>
  </si>
  <si>
    <t>16-20</t>
  </si>
  <si>
    <t>Frecuencia</t>
  </si>
  <si>
    <t>Frecuencia Relativa</t>
  </si>
  <si>
    <t>Semana</t>
  </si>
  <si>
    <t>Abdominales</t>
  </si>
  <si>
    <t>Column1</t>
  </si>
  <si>
    <t>Row Labels</t>
  </si>
  <si>
    <t>Acumuladas</t>
  </si>
  <si>
    <t>Abdominales por semana</t>
  </si>
  <si>
    <t>Acidez leve</t>
  </si>
  <si>
    <t>Acidez intensa</t>
  </si>
  <si>
    <t>Sin acidez</t>
  </si>
  <si>
    <t xml:space="preserve"> </t>
  </si>
  <si>
    <t>Analgésico</t>
  </si>
  <si>
    <t>Placebo</t>
  </si>
  <si>
    <t>Total</t>
  </si>
  <si>
    <t>Sum of Analgésico</t>
  </si>
  <si>
    <t>Sum of Placebo</t>
  </si>
  <si>
    <t>Analgésico y placebo</t>
  </si>
  <si>
    <t>Median</t>
  </si>
  <si>
    <t>Mode</t>
  </si>
  <si>
    <t>Average</t>
  </si>
  <si>
    <t>Datos</t>
  </si>
  <si>
    <t>Rango</t>
  </si>
  <si>
    <t>IQR</t>
  </si>
  <si>
    <t>Número de perros</t>
  </si>
  <si>
    <t>Rango Np</t>
  </si>
  <si>
    <t>Rango Fr</t>
  </si>
  <si>
    <t>Media</t>
  </si>
  <si>
    <t>Mediana</t>
  </si>
  <si>
    <t>Moda</t>
  </si>
  <si>
    <t>Desplazamiento (suma y resta)</t>
  </si>
  <si>
    <t>Escalar (multiplicación y división)</t>
  </si>
  <si>
    <t>Añadir o quitar un punto de datos del conjunto</t>
  </si>
  <si>
    <t>Base de Datos</t>
  </si>
  <si>
    <t>Mínimo</t>
  </si>
  <si>
    <t>Q1</t>
  </si>
  <si>
    <t>Mediana (Q2)</t>
  </si>
  <si>
    <t>Q3</t>
  </si>
  <si>
    <t>Máximo</t>
  </si>
  <si>
    <t>CALIFICACIONES</t>
  </si>
  <si>
    <t>Arte</t>
  </si>
  <si>
    <t>Arquitectura</t>
  </si>
  <si>
    <t>Música</t>
  </si>
  <si>
    <t>Año</t>
  </si>
  <si>
    <t>1ero</t>
  </si>
  <si>
    <t>2do</t>
  </si>
  <si>
    <t>3ro</t>
  </si>
  <si>
    <t>4to</t>
  </si>
  <si>
    <t>Sum of Arquitectura</t>
  </si>
  <si>
    <t>Mujer</t>
  </si>
  <si>
    <t>Hombre</t>
  </si>
  <si>
    <t>Concierto</t>
  </si>
  <si>
    <t>Patinaje</t>
  </si>
  <si>
    <t>Fiesta de sushi</t>
  </si>
  <si>
    <t>¿Cuál es el rango y el IQR del siguiente conjunto de datos?</t>
  </si>
  <si>
    <t>RANGO</t>
  </si>
  <si>
    <t>Crea el box plot basado en la siguiente información de un conjunto de datos:</t>
  </si>
  <si>
    <t>Promedio</t>
  </si>
  <si>
    <t>**</t>
  </si>
  <si>
    <t>Datos proporcionados</t>
  </si>
  <si>
    <t>Datos corregidos</t>
  </si>
  <si>
    <t>Base de datos</t>
  </si>
  <si>
    <t>Varianza</t>
  </si>
  <si>
    <t>Variance</t>
  </si>
  <si>
    <t>Standard Deviation</t>
  </si>
  <si>
    <t>Datos #1</t>
  </si>
  <si>
    <t>Datos #2</t>
  </si>
  <si>
    <t>Día</t>
  </si>
  <si>
    <t>Mensajes Texto</t>
  </si>
  <si>
    <t>Max</t>
  </si>
  <si>
    <t>Min</t>
  </si>
  <si>
    <t>Variaza</t>
  </si>
  <si>
    <t>Desviación Estándar</t>
  </si>
  <si>
    <t>Valor Atípico bajo</t>
  </si>
  <si>
    <t>Valor Atípico alto</t>
  </si>
  <si>
    <t>Count</t>
  </si>
  <si>
    <t>Mensajes de texto</t>
  </si>
  <si>
    <t>Desv. Estándar</t>
  </si>
  <si>
    <t>DS</t>
  </si>
  <si>
    <t>10-19</t>
  </si>
  <si>
    <t>20-29</t>
  </si>
  <si>
    <t>30-39</t>
  </si>
  <si>
    <t>40-49</t>
  </si>
  <si>
    <t>50-60</t>
  </si>
  <si>
    <t>Count of Datos</t>
  </si>
  <si>
    <t>Peso en libras</t>
  </si>
  <si>
    <t>Altura en centímetros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</si>
</sst>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color theme="1"/>
      <name val="Arial"/>
      <family val="2"/>
    </font>
    <font>
      <b/>
      <sz val="12"/>
      <color theme="0"/>
      <name val="Arial"/>
      <family val="2"/>
    </font>
    <font>
      <b/>
      <sz val="12"/>
      <color theme="1"/>
      <name val="Arial"/>
      <family val="2"/>
    </font>
    <font>
      <b/>
      <sz val="10"/>
      <color theme="1"/>
      <name val="Calibri"/>
      <family val="2"/>
      <scheme val="minor"/>
    </font>
    <font>
      <b/>
      <sz val="14"/>
      <name val="Segoe UI"/>
      <family val="2"/>
    </font>
    <font>
      <sz val="11"/>
      <color theme="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7"/>
        <bgColor theme="7"/>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7"/>
      </left>
      <right style="thin">
        <color theme="7"/>
      </right>
      <top style="thin">
        <color theme="7"/>
      </top>
      <bottom/>
      <diagonal/>
    </border>
    <border>
      <left style="medium">
        <color indexed="64"/>
      </left>
      <right style="medium">
        <color indexed="64"/>
      </right>
      <top style="thin">
        <color theme="7"/>
      </top>
      <bottom/>
      <diagonal/>
    </border>
    <border>
      <left style="medium">
        <color indexed="64"/>
      </left>
      <right style="medium">
        <color indexed="64"/>
      </right>
      <top style="thin">
        <color theme="7"/>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0" fontId="0" fillId="0" borderId="0" xfId="0" pivotButton="1"/>
    <xf numFmtId="0" fontId="0" fillId="0" borderId="0" xfId="0" applyAlignment="1">
      <alignment horizontal="left"/>
    </xf>
    <xf numFmtId="9" fontId="0" fillId="0" borderId="0" xfId="0" applyNumberFormat="1"/>
    <xf numFmtId="9" fontId="0" fillId="0" borderId="0" xfId="1" applyFont="1"/>
    <xf numFmtId="0" fontId="0" fillId="2" borderId="0" xfId="0" applyFill="1"/>
    <xf numFmtId="10" fontId="0" fillId="0" borderId="0" xfId="0" applyNumberFormat="1"/>
    <xf numFmtId="0" fontId="0" fillId="0" borderId="5" xfId="0" applyBorder="1"/>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3" borderId="5" xfId="0" applyFont="1" applyFill="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4" fillId="0" borderId="1" xfId="0" applyFont="1" applyBorder="1" applyAlignment="1">
      <alignment horizontal="center" vertical="center"/>
    </xf>
    <xf numFmtId="0" fontId="0" fillId="0" borderId="0" xfId="0" applyAlignment="1">
      <alignment horizontal="center" vertical="center"/>
    </xf>
    <xf numFmtId="0" fontId="2" fillId="5" borderId="5" xfId="0" applyFont="1" applyFill="1" applyBorder="1" applyAlignment="1">
      <alignment horizontal="center" vertical="center"/>
    </xf>
    <xf numFmtId="0" fontId="3" fillId="0" borderId="5" xfId="0" applyFont="1" applyBorder="1" applyAlignment="1">
      <alignment horizontal="center" vertical="center"/>
    </xf>
    <xf numFmtId="0" fontId="2" fillId="4" borderId="7" xfId="0" applyFont="1" applyFill="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0" borderId="9" xfId="0" applyFont="1" applyBorder="1" applyAlignment="1">
      <alignment horizontal="center" vertical="center"/>
    </xf>
    <xf numFmtId="2" fontId="3" fillId="0" borderId="5" xfId="0" applyNumberFormat="1" applyFont="1" applyBorder="1" applyAlignment="1">
      <alignment horizontal="center" vertical="center"/>
    </xf>
    <xf numFmtId="0" fontId="0" fillId="0" borderId="5" xfId="0" applyBorder="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2" fontId="0" fillId="0" borderId="5" xfId="0" applyNumberFormat="1" applyBorder="1" applyAlignment="1">
      <alignment horizontal="center" vertical="center"/>
    </xf>
    <xf numFmtId="0" fontId="0" fillId="6" borderId="0" xfId="0" applyFill="1" applyAlignment="1">
      <alignment horizontal="center" vertical="center"/>
    </xf>
    <xf numFmtId="0" fontId="2" fillId="7" borderId="5" xfId="0" applyFont="1" applyFill="1" applyBorder="1" applyAlignment="1">
      <alignment horizontal="center" vertical="center"/>
    </xf>
    <xf numFmtId="0" fontId="2" fillId="8" borderId="5" xfId="0" applyFont="1" applyFill="1" applyBorder="1" applyAlignment="1">
      <alignment horizontal="center" vertical="center"/>
    </xf>
    <xf numFmtId="0" fontId="7" fillId="0" borderId="5"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0" fillId="0" borderId="15" xfId="0" applyBorder="1" applyAlignment="1">
      <alignment horizontal="center" vertical="center"/>
    </xf>
    <xf numFmtId="0" fontId="3" fillId="0" borderId="16" xfId="0" applyFont="1" applyBorder="1" applyAlignment="1">
      <alignment horizontal="center" vertical="center"/>
    </xf>
    <xf numFmtId="10" fontId="0" fillId="9" borderId="0" xfId="0" applyNumberFormat="1" applyFill="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3" fontId="0" fillId="0" borderId="0" xfId="0" applyNumberFormat="1"/>
    <xf numFmtId="3" fontId="3" fillId="0" borderId="0" xfId="0" applyNumberFormat="1" applyFont="1"/>
    <xf numFmtId="0" fontId="2" fillId="10" borderId="5" xfId="0" applyFont="1" applyFill="1" applyBorder="1" applyAlignment="1">
      <alignment horizontal="center" vertical="center"/>
    </xf>
    <xf numFmtId="0" fontId="0" fillId="7" borderId="0" xfId="0" applyFill="1" applyAlignment="1">
      <alignment horizontal="center" vertical="center"/>
    </xf>
    <xf numFmtId="0" fontId="0" fillId="0" borderId="5" xfId="0" applyBorder="1" applyAlignment="1">
      <alignment horizontal="center" wrapText="1"/>
    </xf>
    <xf numFmtId="2" fontId="0" fillId="0" borderId="5" xfId="0" applyNumberFormat="1" applyBorder="1"/>
    <xf numFmtId="0" fontId="4" fillId="0" borderId="5" xfId="0" applyFont="1" applyBorder="1" applyAlignment="1">
      <alignment horizontal="center" vertical="center"/>
    </xf>
    <xf numFmtId="0" fontId="0" fillId="9" borderId="25" xfId="0" applyFill="1" applyBorder="1" applyAlignment="1">
      <alignment horizontal="right" vertical="center"/>
    </xf>
    <xf numFmtId="0" fontId="0" fillId="0" borderId="25" xfId="0" applyBorder="1" applyAlignment="1">
      <alignment horizontal="right" vertical="center"/>
    </xf>
    <xf numFmtId="0" fontId="3" fillId="0" borderId="26" xfId="0" applyFont="1" applyBorder="1" applyAlignment="1">
      <alignment horizontal="center" vertical="center"/>
    </xf>
    <xf numFmtId="164" fontId="3" fillId="0" borderId="26" xfId="0" applyNumberFormat="1" applyFont="1" applyBorder="1" applyAlignment="1">
      <alignment horizontal="center" vertical="center"/>
    </xf>
    <xf numFmtId="164" fontId="3" fillId="9" borderId="26" xfId="0" applyNumberFormat="1" applyFont="1" applyFill="1" applyBorder="1" applyAlignment="1">
      <alignment horizontal="center" vertical="center"/>
    </xf>
    <xf numFmtId="0" fontId="0" fillId="0" borderId="0" xfId="0" pivotButton="1" applyAlignment="1">
      <alignment horizontal="center" vertical="center" wrapText="1"/>
    </xf>
    <xf numFmtId="0" fontId="0" fillId="11" borderId="23" xfId="0" applyFill="1" applyBorder="1" applyAlignment="1">
      <alignment horizontal="right" vertical="center"/>
    </xf>
    <xf numFmtId="164" fontId="3" fillId="11" borderId="24" xfId="0" applyNumberFormat="1" applyFont="1" applyFill="1" applyBorder="1" applyAlignment="1">
      <alignment horizontal="center" vertical="center"/>
    </xf>
    <xf numFmtId="0" fontId="0" fillId="11" borderId="25" xfId="0" applyFill="1" applyBorder="1" applyAlignment="1">
      <alignment horizontal="right" vertical="center"/>
    </xf>
    <xf numFmtId="0" fontId="3" fillId="11" borderId="26" xfId="0" applyFont="1" applyFill="1" applyBorder="1" applyAlignment="1">
      <alignment horizontal="center" vertical="center"/>
    </xf>
    <xf numFmtId="0" fontId="9" fillId="7" borderId="25" xfId="0" applyFont="1" applyFill="1" applyBorder="1" applyAlignment="1">
      <alignment horizontal="right" vertical="center"/>
    </xf>
    <xf numFmtId="164" fontId="2" fillId="7" borderId="26" xfId="0" applyNumberFormat="1" applyFont="1" applyFill="1" applyBorder="1" applyAlignment="1">
      <alignment horizontal="center" vertical="center"/>
    </xf>
    <xf numFmtId="164" fontId="0" fillId="0" borderId="26" xfId="0" applyNumberFormat="1" applyBorder="1" applyAlignment="1">
      <alignment horizontal="center" vertical="center"/>
    </xf>
    <xf numFmtId="164" fontId="0" fillId="9" borderId="28" xfId="0" applyNumberFormat="1"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2" fontId="0" fillId="0" borderId="0" xfId="0" applyNumberFormat="1" applyAlignment="1">
      <alignment horizontal="center" vertical="center"/>
    </xf>
    <xf numFmtId="0" fontId="0" fillId="0" borderId="18" xfId="0" applyBorder="1" applyAlignment="1">
      <alignment horizontal="center" vertical="center"/>
    </xf>
    <xf numFmtId="2" fontId="0" fillId="0" borderId="20" xfId="0" applyNumberFormat="1" applyBorder="1" applyAlignment="1">
      <alignment horizontal="center" vertical="center"/>
    </xf>
    <xf numFmtId="0" fontId="3" fillId="9" borderId="8" xfId="0" applyFont="1" applyFill="1" applyBorder="1" applyAlignment="1">
      <alignment horizontal="center" vertical="center"/>
    </xf>
    <xf numFmtId="0" fontId="0" fillId="9" borderId="8" xfId="0" applyFill="1" applyBorder="1" applyAlignment="1">
      <alignment horizontal="center" vertical="center"/>
    </xf>
    <xf numFmtId="0" fontId="8" fillId="0" borderId="5" xfId="0" applyFont="1" applyBorder="1" applyAlignment="1">
      <alignment horizontal="center" vertical="center"/>
    </xf>
    <xf numFmtId="0" fontId="0" fillId="0" borderId="0" xfId="0" applyAlignment="1">
      <alignment horizontal="center" vertical="center" wrapText="1"/>
    </xf>
    <xf numFmtId="0" fontId="0" fillId="0" borderId="25" xfId="0" applyBorder="1" applyAlignment="1">
      <alignment horizontal="center" vertical="center" wrapText="1"/>
    </xf>
    <xf numFmtId="0" fontId="0" fillId="0" borderId="27" xfId="0" applyBorder="1" applyAlignment="1">
      <alignment horizontal="center" vertical="center" wrapText="1"/>
    </xf>
  </cellXfs>
  <cellStyles count="2">
    <cellStyle name="Normal" xfId="0" builtinId="0"/>
    <cellStyle name="Percent" xfId="1" builtinId="5"/>
  </cellStyles>
  <dxfs count="23">
    <dxf>
      <alignment vertical="center"/>
    </dxf>
    <dxf>
      <alignment vertical="center"/>
    </dxf>
    <dxf>
      <alignment horizontal="center"/>
    </dxf>
    <dxf>
      <alignment wrapText="1"/>
    </dxf>
    <dxf>
      <alignment horizontal="cent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bgColor rgb="FFFFFF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13" formatCode="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Proyecto.xlsx]Ex_4!PivotTable10</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Ex_4!$D$3</c:f>
              <c:strCache>
                <c:ptCount val="1"/>
                <c:pt idx="0">
                  <c:v>Frecuencia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Ex_4!$C$4:$C$8</c:f>
              <c:strCache>
                <c:ptCount val="4"/>
                <c:pt idx="0">
                  <c:v>1-5</c:v>
                </c:pt>
                <c:pt idx="1">
                  <c:v>6-10</c:v>
                </c:pt>
                <c:pt idx="2">
                  <c:v>11-15</c:v>
                </c:pt>
                <c:pt idx="3">
                  <c:v>16-20</c:v>
                </c:pt>
              </c:strCache>
            </c:strRef>
          </c:cat>
          <c:val>
            <c:numRef>
              <c:f>Ex_4!$D$4:$D$8</c:f>
              <c:numCache>
                <c:formatCode>General</c:formatCode>
                <c:ptCount val="4"/>
                <c:pt idx="0">
                  <c:v>2</c:v>
                </c:pt>
                <c:pt idx="1">
                  <c:v>3</c:v>
                </c:pt>
                <c:pt idx="2">
                  <c:v>3</c:v>
                </c:pt>
                <c:pt idx="3">
                  <c:v>7</c:v>
                </c:pt>
              </c:numCache>
            </c:numRef>
          </c:val>
          <c:extLst>
            <c:ext xmlns:c16="http://schemas.microsoft.com/office/drawing/2014/chart" uri="{C3380CC4-5D6E-409C-BE32-E72D297353CC}">
              <c16:uniqueId val="{00000000-0148-4783-94DB-70E4A75C1922}"/>
            </c:ext>
          </c:extLst>
        </c:ser>
        <c:dLbls>
          <c:showLegendKey val="0"/>
          <c:showVal val="1"/>
          <c:showCatName val="0"/>
          <c:showSerName val="0"/>
          <c:showPercent val="0"/>
          <c:showBubbleSize val="0"/>
        </c:dLbls>
        <c:gapWidth val="219"/>
        <c:overlap val="100"/>
        <c:axId val="345686320"/>
        <c:axId val="345688720"/>
      </c:barChart>
      <c:lineChart>
        <c:grouping val="stacked"/>
        <c:varyColors val="0"/>
        <c:ser>
          <c:idx val="1"/>
          <c:order val="1"/>
          <c:tx>
            <c:strRef>
              <c:f>Ex_4!$E$3</c:f>
              <c:strCache>
                <c:ptCount val="1"/>
                <c:pt idx="0">
                  <c:v>Frecuencia Relativa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Ex_4!$C$4:$C$8</c:f>
              <c:strCache>
                <c:ptCount val="4"/>
                <c:pt idx="0">
                  <c:v>1-5</c:v>
                </c:pt>
                <c:pt idx="1">
                  <c:v>6-10</c:v>
                </c:pt>
                <c:pt idx="2">
                  <c:v>11-15</c:v>
                </c:pt>
                <c:pt idx="3">
                  <c:v>16-20</c:v>
                </c:pt>
              </c:strCache>
            </c:strRef>
          </c:cat>
          <c:val>
            <c:numRef>
              <c:f>Ex_4!$E$4:$E$8</c:f>
              <c:numCache>
                <c:formatCode>0%</c:formatCode>
                <c:ptCount val="4"/>
                <c:pt idx="0">
                  <c:v>0.13333333333333333</c:v>
                </c:pt>
                <c:pt idx="1">
                  <c:v>0.2</c:v>
                </c:pt>
                <c:pt idx="2">
                  <c:v>0.2</c:v>
                </c:pt>
                <c:pt idx="3">
                  <c:v>0.46666666666666667</c:v>
                </c:pt>
              </c:numCache>
            </c:numRef>
          </c:val>
          <c:smooth val="0"/>
          <c:extLst>
            <c:ext xmlns:c16="http://schemas.microsoft.com/office/drawing/2014/chart" uri="{C3380CC4-5D6E-409C-BE32-E72D297353CC}">
              <c16:uniqueId val="{00000001-0148-4783-94DB-70E4A75C1922}"/>
            </c:ext>
          </c:extLst>
        </c:ser>
        <c:dLbls>
          <c:showLegendKey val="0"/>
          <c:showVal val="1"/>
          <c:showCatName val="0"/>
          <c:showSerName val="0"/>
          <c:showPercent val="0"/>
          <c:showBubbleSize val="0"/>
        </c:dLbls>
        <c:marker val="1"/>
        <c:smooth val="0"/>
        <c:axId val="2109347504"/>
        <c:axId val="2109345584"/>
      </c:lineChart>
      <c:catAx>
        <c:axId val="34568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88720"/>
        <c:crosses val="autoZero"/>
        <c:auto val="1"/>
        <c:lblAlgn val="ctr"/>
        <c:lblOffset val="100"/>
        <c:noMultiLvlLbl val="0"/>
      </c:catAx>
      <c:valAx>
        <c:axId val="34568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86320"/>
        <c:crosses val="autoZero"/>
        <c:crossBetween val="between"/>
      </c:valAx>
      <c:valAx>
        <c:axId val="21093455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7504"/>
        <c:crosses val="max"/>
        <c:crossBetween val="between"/>
      </c:valAx>
      <c:catAx>
        <c:axId val="2109347504"/>
        <c:scaling>
          <c:orientation val="minMax"/>
        </c:scaling>
        <c:delete val="1"/>
        <c:axPos val="b"/>
        <c:numFmt formatCode="General" sourceLinked="1"/>
        <c:majorTickMark val="out"/>
        <c:minorTickMark val="none"/>
        <c:tickLblPos val="nextTo"/>
        <c:crossAx val="21093455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Proyecto.xlsx]Ex_5!PivotTable6</c:name>
    <c:fmtId val="0"/>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Ex_5!$C$17</c:f>
              <c:strCache>
                <c:ptCount val="1"/>
                <c:pt idx="0">
                  <c:v>Abdominales por semana</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Ex_5!$B$18:$B$24</c:f>
              <c:strCache>
                <c:ptCount val="6"/>
                <c:pt idx="0">
                  <c:v>1</c:v>
                </c:pt>
                <c:pt idx="1">
                  <c:v>2</c:v>
                </c:pt>
                <c:pt idx="2">
                  <c:v>3</c:v>
                </c:pt>
                <c:pt idx="3">
                  <c:v>4</c:v>
                </c:pt>
                <c:pt idx="4">
                  <c:v>5</c:v>
                </c:pt>
                <c:pt idx="5">
                  <c:v>6</c:v>
                </c:pt>
              </c:strCache>
            </c:strRef>
          </c:cat>
          <c:val>
            <c:numRef>
              <c:f>Ex_5!$C$18:$C$24</c:f>
              <c:numCache>
                <c:formatCode>General</c:formatCode>
                <c:ptCount val="6"/>
                <c:pt idx="0">
                  <c:v>355</c:v>
                </c:pt>
                <c:pt idx="1">
                  <c:v>460</c:v>
                </c:pt>
                <c:pt idx="2">
                  <c:v>605</c:v>
                </c:pt>
                <c:pt idx="3">
                  <c:v>545</c:v>
                </c:pt>
                <c:pt idx="4">
                  <c:v>1280</c:v>
                </c:pt>
                <c:pt idx="5">
                  <c:v>1690</c:v>
                </c:pt>
              </c:numCache>
            </c:numRef>
          </c:val>
          <c:smooth val="0"/>
          <c:extLst>
            <c:ext xmlns:c16="http://schemas.microsoft.com/office/drawing/2014/chart" uri="{C3380CC4-5D6E-409C-BE32-E72D297353CC}">
              <c16:uniqueId val="{00000000-7938-47B7-BB1B-F65B2A76BC1A}"/>
            </c:ext>
          </c:extLst>
        </c:ser>
        <c:ser>
          <c:idx val="1"/>
          <c:order val="1"/>
          <c:tx>
            <c:strRef>
              <c:f>Ex_5!$D$17</c:f>
              <c:strCache>
                <c:ptCount val="1"/>
                <c:pt idx="0">
                  <c:v>Acumuladas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Ex_5!$B$18:$B$24</c:f>
              <c:strCache>
                <c:ptCount val="6"/>
                <c:pt idx="0">
                  <c:v>1</c:v>
                </c:pt>
                <c:pt idx="1">
                  <c:v>2</c:v>
                </c:pt>
                <c:pt idx="2">
                  <c:v>3</c:v>
                </c:pt>
                <c:pt idx="3">
                  <c:v>4</c:v>
                </c:pt>
                <c:pt idx="4">
                  <c:v>5</c:v>
                </c:pt>
                <c:pt idx="5">
                  <c:v>6</c:v>
                </c:pt>
              </c:strCache>
            </c:strRef>
          </c:cat>
          <c:val>
            <c:numRef>
              <c:f>Ex_5!$D$18:$D$24</c:f>
              <c:numCache>
                <c:formatCode>General</c:formatCode>
                <c:ptCount val="6"/>
                <c:pt idx="0">
                  <c:v>355</c:v>
                </c:pt>
                <c:pt idx="1">
                  <c:v>815</c:v>
                </c:pt>
                <c:pt idx="2">
                  <c:v>1420</c:v>
                </c:pt>
                <c:pt idx="3">
                  <c:v>1965</c:v>
                </c:pt>
                <c:pt idx="4">
                  <c:v>3245</c:v>
                </c:pt>
                <c:pt idx="5">
                  <c:v>4935</c:v>
                </c:pt>
              </c:numCache>
            </c:numRef>
          </c:val>
          <c:smooth val="0"/>
          <c:extLst>
            <c:ext xmlns:c16="http://schemas.microsoft.com/office/drawing/2014/chart" uri="{C3380CC4-5D6E-409C-BE32-E72D297353CC}">
              <c16:uniqueId val="{00000001-7938-47B7-BB1B-F65B2A76BC1A}"/>
            </c:ext>
          </c:extLst>
        </c:ser>
        <c:dLbls>
          <c:showLegendKey val="0"/>
          <c:showVal val="0"/>
          <c:showCatName val="0"/>
          <c:showSerName val="0"/>
          <c:showPercent val="0"/>
          <c:showBubbleSize val="0"/>
        </c:dLbls>
        <c:marker val="1"/>
        <c:smooth val="0"/>
        <c:axId val="2130318512"/>
        <c:axId val="2130319472"/>
      </c:lineChart>
      <c:catAx>
        <c:axId val="21303185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319472"/>
        <c:crosses val="autoZero"/>
        <c:auto val="1"/>
        <c:lblAlgn val="ctr"/>
        <c:lblOffset val="100"/>
        <c:noMultiLvlLbl val="0"/>
      </c:catAx>
      <c:valAx>
        <c:axId val="21303194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31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Proyecto.xlsx]Ex_6!PivotTable13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Analgésico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Ex_6!$J$8</c:f>
              <c:strCache>
                <c:ptCount val="1"/>
                <c:pt idx="0">
                  <c:v>Total</c:v>
                </c:pt>
              </c:strCache>
            </c:strRef>
          </c:tx>
          <c:spPr>
            <a:solidFill>
              <a:schemeClr val="accent1"/>
            </a:solidFill>
            <a:ln>
              <a:noFill/>
            </a:ln>
            <a:effectLst/>
          </c:spPr>
          <c:invertIfNegative val="0"/>
          <c:cat>
            <c:strRef>
              <c:f>Ex_6!$I$9:$I$12</c:f>
              <c:strCache>
                <c:ptCount val="3"/>
                <c:pt idx="0">
                  <c:v>Acidez intensa</c:v>
                </c:pt>
                <c:pt idx="1">
                  <c:v>Acidez leve</c:v>
                </c:pt>
                <c:pt idx="2">
                  <c:v>Sin acidez</c:v>
                </c:pt>
              </c:strCache>
            </c:strRef>
          </c:cat>
          <c:val>
            <c:numRef>
              <c:f>Ex_6!$J$9:$J$12</c:f>
              <c:numCache>
                <c:formatCode>0.00%</c:formatCode>
                <c:ptCount val="3"/>
                <c:pt idx="0">
                  <c:v>1.0010290953316493E-2</c:v>
                </c:pt>
                <c:pt idx="1">
                  <c:v>8.4198708953129382E-4</c:v>
                </c:pt>
                <c:pt idx="2">
                  <c:v>0.98914772195715217</c:v>
                </c:pt>
              </c:numCache>
            </c:numRef>
          </c:val>
          <c:extLst>
            <c:ext xmlns:c16="http://schemas.microsoft.com/office/drawing/2014/chart" uri="{C3380CC4-5D6E-409C-BE32-E72D297353CC}">
              <c16:uniqueId val="{00000000-3636-4D62-AAB8-3CFCB8A96F28}"/>
            </c:ext>
          </c:extLst>
        </c:ser>
        <c:dLbls>
          <c:showLegendKey val="0"/>
          <c:showVal val="0"/>
          <c:showCatName val="0"/>
          <c:showSerName val="0"/>
          <c:showPercent val="0"/>
          <c:showBubbleSize val="0"/>
        </c:dLbls>
        <c:gapWidth val="219"/>
        <c:overlap val="-27"/>
        <c:axId val="1193124080"/>
        <c:axId val="1193096720"/>
      </c:barChart>
      <c:catAx>
        <c:axId val="11931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96720"/>
        <c:crosses val="autoZero"/>
        <c:auto val="1"/>
        <c:lblAlgn val="ctr"/>
        <c:lblOffset val="100"/>
        <c:noMultiLvlLbl val="0"/>
      </c:catAx>
      <c:valAx>
        <c:axId val="1193096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2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Proyecto.xlsx]Ex_6!PivotTable14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Placebo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Ex_6!$J$14</c:f>
              <c:strCache>
                <c:ptCount val="1"/>
                <c:pt idx="0">
                  <c:v>Total</c:v>
                </c:pt>
              </c:strCache>
            </c:strRef>
          </c:tx>
          <c:spPr>
            <a:solidFill>
              <a:schemeClr val="accent1"/>
            </a:solidFill>
            <a:ln>
              <a:noFill/>
            </a:ln>
            <a:effectLst/>
          </c:spPr>
          <c:invertIfNegative val="0"/>
          <c:cat>
            <c:strRef>
              <c:f>Ex_6!$I$15:$I$18</c:f>
              <c:strCache>
                <c:ptCount val="3"/>
                <c:pt idx="0">
                  <c:v>Acidez intensa</c:v>
                </c:pt>
                <c:pt idx="1">
                  <c:v>Acidez leve</c:v>
                </c:pt>
                <c:pt idx="2">
                  <c:v>Sin acidez</c:v>
                </c:pt>
              </c:strCache>
            </c:strRef>
          </c:cat>
          <c:val>
            <c:numRef>
              <c:f>Ex_6!$J$15:$J$18</c:f>
              <c:numCache>
                <c:formatCode>0.00%</c:formatCode>
                <c:ptCount val="3"/>
                <c:pt idx="0">
                  <c:v>2.9026217228464418E-3</c:v>
                </c:pt>
                <c:pt idx="1">
                  <c:v>1.647940074906367E-2</c:v>
                </c:pt>
                <c:pt idx="2">
                  <c:v>0.98061797752808988</c:v>
                </c:pt>
              </c:numCache>
            </c:numRef>
          </c:val>
          <c:extLst>
            <c:ext xmlns:c16="http://schemas.microsoft.com/office/drawing/2014/chart" uri="{C3380CC4-5D6E-409C-BE32-E72D297353CC}">
              <c16:uniqueId val="{00000000-93B5-49B6-8B2E-218CC100A82D}"/>
            </c:ext>
          </c:extLst>
        </c:ser>
        <c:dLbls>
          <c:showLegendKey val="0"/>
          <c:showVal val="0"/>
          <c:showCatName val="0"/>
          <c:showSerName val="0"/>
          <c:showPercent val="0"/>
          <c:showBubbleSize val="0"/>
        </c:dLbls>
        <c:gapWidth val="219"/>
        <c:overlap val="-27"/>
        <c:axId val="1193098640"/>
        <c:axId val="1193099120"/>
      </c:barChart>
      <c:catAx>
        <c:axId val="11930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99120"/>
        <c:crosses val="autoZero"/>
        <c:auto val="1"/>
        <c:lblAlgn val="ctr"/>
        <c:lblOffset val="100"/>
        <c:noMultiLvlLbl val="0"/>
      </c:catAx>
      <c:valAx>
        <c:axId val="1193099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9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Proyecto.xlsx]Ex_6!PivotTable15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Placebo + Analgésico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Ex_6!$J$20</c:f>
              <c:strCache>
                <c:ptCount val="1"/>
                <c:pt idx="0">
                  <c:v>Total</c:v>
                </c:pt>
              </c:strCache>
            </c:strRef>
          </c:tx>
          <c:spPr>
            <a:solidFill>
              <a:schemeClr val="accent2"/>
            </a:solidFill>
            <a:ln>
              <a:noFill/>
            </a:ln>
            <a:effectLst/>
          </c:spPr>
          <c:invertIfNegative val="0"/>
          <c:cat>
            <c:strRef>
              <c:f>Ex_6!$I$21:$I$24</c:f>
              <c:strCache>
                <c:ptCount val="3"/>
                <c:pt idx="0">
                  <c:v>Acidez intensa</c:v>
                </c:pt>
                <c:pt idx="1">
                  <c:v>Acidez leve</c:v>
                </c:pt>
                <c:pt idx="2">
                  <c:v>Sin acidez</c:v>
                </c:pt>
              </c:strCache>
            </c:strRef>
          </c:cat>
          <c:val>
            <c:numRef>
              <c:f>Ex_6!$J$21:$J$24</c:f>
              <c:numCache>
                <c:formatCode>0.00%</c:formatCode>
                <c:ptCount val="3"/>
                <c:pt idx="0">
                  <c:v>6.457953109644813E-3</c:v>
                </c:pt>
                <c:pt idx="1">
                  <c:v>8.6574009078571757E-3</c:v>
                </c:pt>
                <c:pt idx="2">
                  <c:v>0.98488464598249803</c:v>
                </c:pt>
              </c:numCache>
            </c:numRef>
          </c:val>
          <c:extLst>
            <c:ext xmlns:c16="http://schemas.microsoft.com/office/drawing/2014/chart" uri="{C3380CC4-5D6E-409C-BE32-E72D297353CC}">
              <c16:uniqueId val="{00000000-2FD8-4551-9F2E-78E3AA3B8F70}"/>
            </c:ext>
          </c:extLst>
        </c:ser>
        <c:dLbls>
          <c:showLegendKey val="0"/>
          <c:showVal val="0"/>
          <c:showCatName val="0"/>
          <c:showSerName val="0"/>
          <c:showPercent val="0"/>
          <c:showBubbleSize val="0"/>
        </c:dLbls>
        <c:gapWidth val="219"/>
        <c:overlap val="-27"/>
        <c:axId val="1427982720"/>
        <c:axId val="1427989440"/>
      </c:barChart>
      <c:catAx>
        <c:axId val="142798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989440"/>
        <c:crosses val="autoZero"/>
        <c:auto val="1"/>
        <c:lblAlgn val="ctr"/>
        <c:lblOffset val="100"/>
        <c:noMultiLvlLbl val="0"/>
      </c:catAx>
      <c:valAx>
        <c:axId val="1427989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98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'Ex_9, 10'!$W$2</c:f>
              <c:strCache>
                <c:ptCount val="1"/>
                <c:pt idx="0">
                  <c:v>Base de Datos</c:v>
                </c:pt>
              </c:strCache>
            </c:strRef>
          </c:tx>
          <c:spPr>
            <a:ln w="28575" cap="rnd">
              <a:solidFill>
                <a:schemeClr val="accent1"/>
              </a:solidFill>
              <a:round/>
            </a:ln>
            <a:effectLst/>
          </c:spPr>
          <c:marker>
            <c:symbol val="none"/>
          </c:marker>
          <c:cat>
            <c:strRef>
              <c:f>'Ex_9, 10'!$V$3:$V$7</c:f>
              <c:strCache>
                <c:ptCount val="5"/>
                <c:pt idx="0">
                  <c:v>Media</c:v>
                </c:pt>
                <c:pt idx="1">
                  <c:v>Mediana</c:v>
                </c:pt>
                <c:pt idx="2">
                  <c:v>Moda</c:v>
                </c:pt>
                <c:pt idx="3">
                  <c:v>Rango</c:v>
                </c:pt>
                <c:pt idx="4">
                  <c:v>IQR</c:v>
                </c:pt>
              </c:strCache>
            </c:strRef>
          </c:cat>
          <c:val>
            <c:numRef>
              <c:f>'Ex_9, 10'!$W$3:$W$7</c:f>
              <c:numCache>
                <c:formatCode>General</c:formatCode>
                <c:ptCount val="5"/>
                <c:pt idx="0" formatCode="0.00">
                  <c:v>68.666666666666671</c:v>
                </c:pt>
                <c:pt idx="1">
                  <c:v>67</c:v>
                </c:pt>
                <c:pt idx="2">
                  <c:v>66</c:v>
                </c:pt>
                <c:pt idx="3">
                  <c:v>17</c:v>
                </c:pt>
                <c:pt idx="4">
                  <c:v>7</c:v>
                </c:pt>
              </c:numCache>
            </c:numRef>
          </c:val>
          <c:smooth val="0"/>
          <c:extLst>
            <c:ext xmlns:c16="http://schemas.microsoft.com/office/drawing/2014/chart" uri="{C3380CC4-5D6E-409C-BE32-E72D297353CC}">
              <c16:uniqueId val="{00000000-78EE-468B-A3DD-69A87415F5DA}"/>
            </c:ext>
          </c:extLst>
        </c:ser>
        <c:ser>
          <c:idx val="1"/>
          <c:order val="1"/>
          <c:tx>
            <c:strRef>
              <c:f>'Ex_9, 10'!$X$2</c:f>
              <c:strCache>
                <c:ptCount val="1"/>
                <c:pt idx="0">
                  <c:v>Desplazamiento (suma y resta)</c:v>
                </c:pt>
              </c:strCache>
            </c:strRef>
          </c:tx>
          <c:spPr>
            <a:ln w="28575" cap="rnd">
              <a:solidFill>
                <a:schemeClr val="accent2"/>
              </a:solidFill>
              <a:round/>
            </a:ln>
            <a:effectLst/>
          </c:spPr>
          <c:marker>
            <c:symbol val="none"/>
          </c:marker>
          <c:cat>
            <c:strRef>
              <c:f>'Ex_9, 10'!$V$3:$V$7</c:f>
              <c:strCache>
                <c:ptCount val="5"/>
                <c:pt idx="0">
                  <c:v>Media</c:v>
                </c:pt>
                <c:pt idx="1">
                  <c:v>Mediana</c:v>
                </c:pt>
                <c:pt idx="2">
                  <c:v>Moda</c:v>
                </c:pt>
                <c:pt idx="3">
                  <c:v>Rango</c:v>
                </c:pt>
                <c:pt idx="4">
                  <c:v>IQR</c:v>
                </c:pt>
              </c:strCache>
            </c:strRef>
          </c:cat>
          <c:val>
            <c:numRef>
              <c:f>'Ex_9, 10'!$X$3:$X$7</c:f>
              <c:numCache>
                <c:formatCode>General</c:formatCode>
                <c:ptCount val="5"/>
                <c:pt idx="0" formatCode="0.00">
                  <c:v>72.666666666666671</c:v>
                </c:pt>
                <c:pt idx="1">
                  <c:v>71</c:v>
                </c:pt>
                <c:pt idx="2">
                  <c:v>70</c:v>
                </c:pt>
                <c:pt idx="3">
                  <c:v>17</c:v>
                </c:pt>
                <c:pt idx="4">
                  <c:v>7</c:v>
                </c:pt>
              </c:numCache>
            </c:numRef>
          </c:val>
          <c:smooth val="0"/>
          <c:extLst>
            <c:ext xmlns:c16="http://schemas.microsoft.com/office/drawing/2014/chart" uri="{C3380CC4-5D6E-409C-BE32-E72D297353CC}">
              <c16:uniqueId val="{00000001-78EE-468B-A3DD-69A87415F5DA}"/>
            </c:ext>
          </c:extLst>
        </c:ser>
        <c:ser>
          <c:idx val="2"/>
          <c:order val="2"/>
          <c:tx>
            <c:strRef>
              <c:f>'Ex_9, 10'!$Y$2</c:f>
              <c:strCache>
                <c:ptCount val="1"/>
                <c:pt idx="0">
                  <c:v>Escalar (multiplicación y división)</c:v>
                </c:pt>
              </c:strCache>
            </c:strRef>
          </c:tx>
          <c:spPr>
            <a:ln w="28575" cap="rnd">
              <a:solidFill>
                <a:schemeClr val="accent3"/>
              </a:solidFill>
              <a:round/>
            </a:ln>
            <a:effectLst/>
          </c:spPr>
          <c:marker>
            <c:symbol val="none"/>
          </c:marker>
          <c:cat>
            <c:strRef>
              <c:f>'Ex_9, 10'!$V$3:$V$7</c:f>
              <c:strCache>
                <c:ptCount val="5"/>
                <c:pt idx="0">
                  <c:v>Media</c:v>
                </c:pt>
                <c:pt idx="1">
                  <c:v>Mediana</c:v>
                </c:pt>
                <c:pt idx="2">
                  <c:v>Moda</c:v>
                </c:pt>
                <c:pt idx="3">
                  <c:v>Rango</c:v>
                </c:pt>
                <c:pt idx="4">
                  <c:v>IQR</c:v>
                </c:pt>
              </c:strCache>
            </c:strRef>
          </c:cat>
          <c:val>
            <c:numRef>
              <c:f>'Ex_9, 10'!$Y$3:$Y$7</c:f>
              <c:numCache>
                <c:formatCode>General</c:formatCode>
                <c:ptCount val="5"/>
                <c:pt idx="0" formatCode="0.00">
                  <c:v>137.33333333333334</c:v>
                </c:pt>
                <c:pt idx="1">
                  <c:v>134</c:v>
                </c:pt>
                <c:pt idx="2">
                  <c:v>132</c:v>
                </c:pt>
                <c:pt idx="3">
                  <c:v>34</c:v>
                </c:pt>
                <c:pt idx="4">
                  <c:v>14</c:v>
                </c:pt>
              </c:numCache>
            </c:numRef>
          </c:val>
          <c:smooth val="0"/>
          <c:extLst>
            <c:ext xmlns:c16="http://schemas.microsoft.com/office/drawing/2014/chart" uri="{C3380CC4-5D6E-409C-BE32-E72D297353CC}">
              <c16:uniqueId val="{00000002-78EE-468B-A3DD-69A87415F5DA}"/>
            </c:ext>
          </c:extLst>
        </c:ser>
        <c:ser>
          <c:idx val="3"/>
          <c:order val="3"/>
          <c:tx>
            <c:strRef>
              <c:f>'Ex_9, 10'!$Z$2</c:f>
              <c:strCache>
                <c:ptCount val="1"/>
                <c:pt idx="0">
                  <c:v>Añadir o quitar un punto de datos del conjunto</c:v>
                </c:pt>
              </c:strCache>
            </c:strRef>
          </c:tx>
          <c:spPr>
            <a:ln w="28575" cap="rnd">
              <a:solidFill>
                <a:schemeClr val="accent4"/>
              </a:solidFill>
              <a:round/>
            </a:ln>
            <a:effectLst/>
          </c:spPr>
          <c:marker>
            <c:symbol val="none"/>
          </c:marker>
          <c:cat>
            <c:strRef>
              <c:f>'Ex_9, 10'!$V$3:$V$7</c:f>
              <c:strCache>
                <c:ptCount val="5"/>
                <c:pt idx="0">
                  <c:v>Media</c:v>
                </c:pt>
                <c:pt idx="1">
                  <c:v>Mediana</c:v>
                </c:pt>
                <c:pt idx="2">
                  <c:v>Moda</c:v>
                </c:pt>
                <c:pt idx="3">
                  <c:v>Rango</c:v>
                </c:pt>
                <c:pt idx="4">
                  <c:v>IQR</c:v>
                </c:pt>
              </c:strCache>
            </c:strRef>
          </c:cat>
          <c:val>
            <c:numRef>
              <c:f>'Ex_9, 10'!$Z$3:$Z$7</c:f>
              <c:numCache>
                <c:formatCode>General</c:formatCode>
                <c:ptCount val="5"/>
                <c:pt idx="0" formatCode="0.00">
                  <c:v>68.8</c:v>
                </c:pt>
                <c:pt idx="1">
                  <c:v>68.5</c:v>
                </c:pt>
                <c:pt idx="2">
                  <c:v>67</c:v>
                </c:pt>
                <c:pt idx="3">
                  <c:v>17</c:v>
                </c:pt>
                <c:pt idx="4">
                  <c:v>8</c:v>
                </c:pt>
              </c:numCache>
            </c:numRef>
          </c:val>
          <c:smooth val="0"/>
          <c:extLst>
            <c:ext xmlns:c16="http://schemas.microsoft.com/office/drawing/2014/chart" uri="{C3380CC4-5D6E-409C-BE32-E72D297353CC}">
              <c16:uniqueId val="{00000003-78EE-468B-A3DD-69A87415F5DA}"/>
            </c:ext>
          </c:extLst>
        </c:ser>
        <c:dLbls>
          <c:showLegendKey val="0"/>
          <c:showVal val="0"/>
          <c:showCatName val="0"/>
          <c:showSerName val="0"/>
          <c:showPercent val="0"/>
          <c:showBubbleSize val="0"/>
        </c:dLbls>
        <c:smooth val="0"/>
        <c:axId val="833645312"/>
        <c:axId val="833633312"/>
      </c:lineChart>
      <c:catAx>
        <c:axId val="83364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33312"/>
        <c:crosses val="autoZero"/>
        <c:auto val="1"/>
        <c:lblAlgn val="ctr"/>
        <c:lblOffset val="100"/>
        <c:noMultiLvlLbl val="0"/>
      </c:catAx>
      <c:valAx>
        <c:axId val="833633312"/>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45312"/>
        <c:crosses val="autoZero"/>
        <c:crossBetween val="between"/>
        <c:maj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Proyecto.xlsx]Ex_15!PivotTable5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Ex_15!$L$22</c:f>
              <c:strCache>
                <c:ptCount val="1"/>
                <c:pt idx="0">
                  <c:v>Total</c:v>
                </c:pt>
              </c:strCache>
            </c:strRef>
          </c:tx>
          <c:spPr>
            <a:solidFill>
              <a:schemeClr val="accent1"/>
            </a:solidFill>
            <a:ln>
              <a:solidFill>
                <a:schemeClr val="tx1"/>
              </a:solidFill>
            </a:ln>
            <a:effectLst/>
          </c:spPr>
          <c:invertIfNegative val="0"/>
          <c:cat>
            <c:strRef>
              <c:f>Ex_15!$K$23:$K$28</c:f>
              <c:strCache>
                <c:ptCount val="5"/>
                <c:pt idx="0">
                  <c:v>10-19</c:v>
                </c:pt>
                <c:pt idx="1">
                  <c:v>20-29</c:v>
                </c:pt>
                <c:pt idx="2">
                  <c:v>30-39</c:v>
                </c:pt>
                <c:pt idx="3">
                  <c:v>40-49</c:v>
                </c:pt>
                <c:pt idx="4">
                  <c:v>50-60</c:v>
                </c:pt>
              </c:strCache>
            </c:strRef>
          </c:cat>
          <c:val>
            <c:numRef>
              <c:f>Ex_15!$L$23:$L$28</c:f>
              <c:numCache>
                <c:formatCode>General</c:formatCode>
                <c:ptCount val="5"/>
                <c:pt idx="0">
                  <c:v>4</c:v>
                </c:pt>
                <c:pt idx="1">
                  <c:v>3</c:v>
                </c:pt>
                <c:pt idx="2">
                  <c:v>4</c:v>
                </c:pt>
                <c:pt idx="3">
                  <c:v>4</c:v>
                </c:pt>
                <c:pt idx="4">
                  <c:v>3</c:v>
                </c:pt>
              </c:numCache>
            </c:numRef>
          </c:val>
          <c:extLst>
            <c:ext xmlns:c16="http://schemas.microsoft.com/office/drawing/2014/chart" uri="{C3380CC4-5D6E-409C-BE32-E72D297353CC}">
              <c16:uniqueId val="{00000000-4F31-41AD-9005-41BF283FD22F}"/>
            </c:ext>
          </c:extLst>
        </c:ser>
        <c:dLbls>
          <c:showLegendKey val="0"/>
          <c:showVal val="0"/>
          <c:showCatName val="0"/>
          <c:showSerName val="0"/>
          <c:showPercent val="0"/>
          <c:showBubbleSize val="0"/>
        </c:dLbls>
        <c:gapWidth val="0"/>
        <c:overlap val="-27"/>
        <c:axId val="466598399"/>
        <c:axId val="466598879"/>
      </c:barChart>
      <c:catAx>
        <c:axId val="46659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98879"/>
        <c:crosses val="autoZero"/>
        <c:auto val="1"/>
        <c:lblAlgn val="ctr"/>
        <c:lblOffset val="100"/>
        <c:noMultiLvlLbl val="0"/>
      </c:catAx>
      <c:valAx>
        <c:axId val="46659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9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Ejercicios Proyecto.xlsx]Ex_16!PivotTable4</c:name>
    <c:fmtId val="0"/>
  </c:pivotSource>
  <c:chart>
    <c:autoTitleDeleted val="1"/>
    <c:pivotFmts>
      <c:pivotFmt>
        <c:idx val="0"/>
        <c:spPr>
          <a:ln w="28575" cap="rnd">
            <a:solidFill>
              <a:schemeClr val="accent1"/>
            </a:solidFill>
            <a:round/>
          </a:ln>
          <a:effectLst/>
        </c:spPr>
        <c:marker>
          <c:symbol val="circle"/>
          <c:size val="5"/>
          <c:spPr>
            <a:solidFill>
              <a:srgbClr val="FFFF00"/>
            </a:solidFill>
            <a:ln w="9525">
              <a:solidFill>
                <a:schemeClr val="accent4">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Ex_16!$H$11</c:f>
              <c:strCache>
                <c:ptCount val="1"/>
                <c:pt idx="0">
                  <c:v>Total</c:v>
                </c:pt>
              </c:strCache>
            </c:strRef>
          </c:tx>
          <c:spPr>
            <a:ln w="28575" cap="rnd">
              <a:solidFill>
                <a:schemeClr val="accent1"/>
              </a:solidFill>
              <a:round/>
            </a:ln>
            <a:effectLst/>
          </c:spPr>
          <c:marker>
            <c:symbol val="circle"/>
            <c:size val="5"/>
            <c:spPr>
              <a:solidFill>
                <a:srgbClr val="FFFF00"/>
              </a:solidFill>
              <a:ln w="9525">
                <a:solidFill>
                  <a:schemeClr val="accent4">
                    <a:lumMod val="40000"/>
                    <a:lumOff val="60000"/>
                  </a:schemeClr>
                </a:solidFill>
              </a:ln>
              <a:effectLst/>
            </c:spPr>
          </c:marker>
          <c:cat>
            <c:strRef>
              <c:f>Ex_16!$G$12:$G$22</c:f>
              <c:strCache>
                <c:ptCount val="10"/>
                <c:pt idx="0">
                  <c:v>0</c:v>
                </c:pt>
                <c:pt idx="1">
                  <c:v>18</c:v>
                </c:pt>
                <c:pt idx="2">
                  <c:v>19</c:v>
                </c:pt>
                <c:pt idx="3">
                  <c:v>20</c:v>
                </c:pt>
                <c:pt idx="4">
                  <c:v>21</c:v>
                </c:pt>
                <c:pt idx="5">
                  <c:v>23</c:v>
                </c:pt>
                <c:pt idx="6">
                  <c:v>24</c:v>
                </c:pt>
                <c:pt idx="7">
                  <c:v>25</c:v>
                </c:pt>
                <c:pt idx="8">
                  <c:v>30</c:v>
                </c:pt>
                <c:pt idx="9">
                  <c:v>31</c:v>
                </c:pt>
              </c:strCache>
            </c:strRef>
          </c:cat>
          <c:val>
            <c:numRef>
              <c:f>Ex_16!$H$12:$H$22</c:f>
              <c:numCache>
                <c:formatCode>General</c:formatCode>
                <c:ptCount val="10"/>
                <c:pt idx="0">
                  <c:v>1</c:v>
                </c:pt>
                <c:pt idx="1">
                  <c:v>1</c:v>
                </c:pt>
                <c:pt idx="2">
                  <c:v>1</c:v>
                </c:pt>
                <c:pt idx="3">
                  <c:v>3</c:v>
                </c:pt>
                <c:pt idx="4">
                  <c:v>1</c:v>
                </c:pt>
                <c:pt idx="5">
                  <c:v>3</c:v>
                </c:pt>
                <c:pt idx="6">
                  <c:v>5</c:v>
                </c:pt>
                <c:pt idx="7">
                  <c:v>6</c:v>
                </c:pt>
                <c:pt idx="8">
                  <c:v>2</c:v>
                </c:pt>
                <c:pt idx="9">
                  <c:v>1</c:v>
                </c:pt>
              </c:numCache>
            </c:numRef>
          </c:val>
          <c:smooth val="1"/>
          <c:extLst>
            <c:ext xmlns:c16="http://schemas.microsoft.com/office/drawing/2014/chart" uri="{C3380CC4-5D6E-409C-BE32-E72D297353CC}">
              <c16:uniqueId val="{00000000-5E38-42A1-B139-1A0707EC2DE5}"/>
            </c:ext>
          </c:extLst>
        </c:ser>
        <c:dLbls>
          <c:showLegendKey val="0"/>
          <c:showVal val="0"/>
          <c:showCatName val="0"/>
          <c:showSerName val="0"/>
          <c:showPercent val="0"/>
          <c:showBubbleSize val="0"/>
        </c:dLbls>
        <c:marker val="1"/>
        <c:smooth val="0"/>
        <c:axId val="291256032"/>
        <c:axId val="291258432"/>
      </c:lineChart>
      <c:catAx>
        <c:axId val="2912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58432"/>
        <c:crosses val="autoZero"/>
        <c:auto val="1"/>
        <c:lblAlgn val="ctr"/>
        <c:lblOffset val="100"/>
        <c:noMultiLvlLbl val="0"/>
      </c:catAx>
      <c:valAx>
        <c:axId val="29125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Ex_27!$C$9</c:f>
              <c:strCache>
                <c:ptCount val="1"/>
                <c:pt idx="0">
                  <c:v>Altura en centímetros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Ex_27!$B$10:$B$16</c:f>
              <c:numCache>
                <c:formatCode>General</c:formatCode>
                <c:ptCount val="7"/>
                <c:pt idx="0">
                  <c:v>9.6999999999999993</c:v>
                </c:pt>
                <c:pt idx="1">
                  <c:v>10.199999999999999</c:v>
                </c:pt>
                <c:pt idx="2">
                  <c:v>12.4</c:v>
                </c:pt>
                <c:pt idx="3">
                  <c:v>13.6</c:v>
                </c:pt>
                <c:pt idx="4">
                  <c:v>9.8000000000000007</c:v>
                </c:pt>
                <c:pt idx="5">
                  <c:v>11.2</c:v>
                </c:pt>
                <c:pt idx="6">
                  <c:v>14.1</c:v>
                </c:pt>
              </c:numCache>
            </c:numRef>
          </c:xVal>
          <c:yVal>
            <c:numRef>
              <c:f>Ex_27!$C$10:$C$16</c:f>
              <c:numCache>
                <c:formatCode>General</c:formatCode>
                <c:ptCount val="7"/>
                <c:pt idx="0">
                  <c:v>51.84</c:v>
                </c:pt>
                <c:pt idx="1">
                  <c:v>53.04</c:v>
                </c:pt>
                <c:pt idx="2">
                  <c:v>56.64</c:v>
                </c:pt>
                <c:pt idx="3">
                  <c:v>60.24</c:v>
                </c:pt>
                <c:pt idx="4">
                  <c:v>53.76</c:v>
                </c:pt>
                <c:pt idx="5">
                  <c:v>57.36</c:v>
                </c:pt>
                <c:pt idx="6">
                  <c:v>61.92</c:v>
                </c:pt>
              </c:numCache>
            </c:numRef>
          </c:yVal>
          <c:smooth val="0"/>
          <c:extLst>
            <c:ext xmlns:c16="http://schemas.microsoft.com/office/drawing/2014/chart" uri="{C3380CC4-5D6E-409C-BE32-E72D297353CC}">
              <c16:uniqueId val="{00000000-18CA-4D14-B26A-89A35D2D92D4}"/>
            </c:ext>
          </c:extLst>
        </c:ser>
        <c:dLbls>
          <c:showLegendKey val="0"/>
          <c:showVal val="0"/>
          <c:showCatName val="0"/>
          <c:showSerName val="0"/>
          <c:showPercent val="0"/>
          <c:showBubbleSize val="0"/>
        </c:dLbls>
        <c:axId val="5857759"/>
        <c:axId val="5848159"/>
      </c:scatterChart>
      <c:valAx>
        <c:axId val="585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8159"/>
        <c:crosses val="autoZero"/>
        <c:crossBetween val="midCat"/>
      </c:valAx>
      <c:valAx>
        <c:axId val="584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77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_xlchart.v1.1</cx:f>
      </cx:numDim>
    </cx:data>
  </cx:chartData>
  <cx:chart>
    <cx:title pos="t" align="ctr" overlay="0">
      <cx:tx>
        <cx:txData>
          <cx:v>Box Plots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 Plots</a:t>
          </a:r>
        </a:p>
      </cx:txPr>
    </cx:title>
    <cx:plotArea>
      <cx:plotAreaRegion>
        <cx:series layoutId="boxWhisker" uniqueId="{703078EB-9731-4C21-B307-BE03E0BEE076}">
          <cx:tx>
            <cx:txData>
              <cx:f>_xlchart.v1.0</cx:f>
              <cx:v>CALIFICACIONES</cx:v>
            </cx:txData>
          </cx:tx>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min="55"/>
        <cx:majorGridlines/>
        <cx:tickLabels/>
      </cx:axis>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 dir="row">_xlchart.v1.2</cx:f>
      </cx:numDim>
    </cx:data>
  </cx:chartData>
  <cx:chart>
    <cx:title pos="t" align="ctr" overlay="0"/>
    <cx:plotArea>
      <cx:plotAreaRegion>
        <cx:series layoutId="boxWhisker" uniqueId="{5F773A7B-D4AA-442E-9458-27992747802B}">
          <cx:dataLabels>
            <cx:visibility seriesName="0" categoryName="0" value="1"/>
          </cx:dataLabels>
          <cx:dataId val="0"/>
          <cx:layoutPr>
            <cx:visibility meanLine="0" meanMarker="1" nonoutliers="0" outliers="1"/>
            <cx:statistics quartileMethod="exclusive"/>
          </cx:layoutPr>
        </cx:series>
      </cx:plotAreaRegion>
      <cx:axis id="0">
        <cx:catScaling gapWidth="2.400000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FECA2D53-61CC-46CB-9D1C-1B9E26BE6787}">
          <cx:tx>
            <cx:txData>
              <cx:f>_xlchart.v1.3</cx:f>
              <cx:v>Mensajes Texto</cx:v>
            </cx:txData>
          </cx:tx>
          <cx:spPr>
            <a:solidFill>
              <a:srgbClr val="00B0F0"/>
            </a:solidFill>
            <a:ln>
              <a:solidFill>
                <a:schemeClr val="tx1"/>
              </a:solidFill>
            </a:ln>
          </cx:spPr>
          <cx:dataLabels pos="r">
            <cx:numFmt formatCode="#,##0.0" sourceLinked="0"/>
            <cx:visibility seriesName="0" categoryName="0" value="1"/>
            <cx:separator>, </cx:separator>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342900</xdr:colOff>
      <xdr:row>9</xdr:row>
      <xdr:rowOff>45720</xdr:rowOff>
    </xdr:from>
    <xdr:to>
      <xdr:col>5</xdr:col>
      <xdr:colOff>548640</xdr:colOff>
      <xdr:row>24</xdr:row>
      <xdr:rowOff>45720</xdr:rowOff>
    </xdr:to>
    <xdr:graphicFrame macro="">
      <xdr:nvGraphicFramePr>
        <xdr:cNvPr id="6" name="Chart 5">
          <a:extLst>
            <a:ext uri="{FF2B5EF4-FFF2-40B4-BE49-F238E27FC236}">
              <a16:creationId xmlns:a16="http://schemas.microsoft.com/office/drawing/2014/main" id="{5BE2DE5C-6077-DDA1-E03B-715902FE5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xdr:colOff>
      <xdr:row>1</xdr:row>
      <xdr:rowOff>45720</xdr:rowOff>
    </xdr:from>
    <xdr:to>
      <xdr:col>9</xdr:col>
      <xdr:colOff>228600</xdr:colOff>
      <xdr:row>4</xdr:row>
      <xdr:rowOff>175260</xdr:rowOff>
    </xdr:to>
    <xdr:sp macro="" textlink="">
      <xdr:nvSpPr>
        <xdr:cNvPr id="2" name="TextBox 1">
          <a:extLst>
            <a:ext uri="{FF2B5EF4-FFF2-40B4-BE49-F238E27FC236}">
              <a16:creationId xmlns:a16="http://schemas.microsoft.com/office/drawing/2014/main" id="{90EC2F43-276F-E2B8-212F-9F027485C993}"/>
            </a:ext>
          </a:extLst>
        </xdr:cNvPr>
        <xdr:cNvSpPr txBox="1"/>
      </xdr:nvSpPr>
      <xdr:spPr>
        <a:xfrm>
          <a:off x="655320" y="228600"/>
          <a:ext cx="5059680" cy="67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Bertha empezó un programa de ejercicios para poder hacer 2000 abdominales a lo largo de varias semanas. Al final de la semana 6 habrá completado 1685 abdominales.</a:t>
          </a:r>
        </a:p>
        <a:p>
          <a:r>
            <a:rPr lang="en-US" sz="1100" b="0" i="0" u="none" strike="noStrike" baseline="0">
              <a:solidFill>
                <a:schemeClr val="dk1"/>
              </a:solidFill>
              <a:latin typeface="+mn-lt"/>
              <a:ea typeface="+mn-ea"/>
              <a:cs typeface="+mn-cs"/>
            </a:rPr>
            <a:t>Crea una gráfica de ojiva de los datos.</a:t>
          </a:r>
          <a:endParaRPr lang="en-US" sz="1100"/>
        </a:p>
      </xdr:txBody>
    </xdr:sp>
    <xdr:clientData/>
  </xdr:twoCellAnchor>
  <xdr:twoCellAnchor>
    <xdr:from>
      <xdr:col>4</xdr:col>
      <xdr:colOff>102578</xdr:colOff>
      <xdr:row>15</xdr:row>
      <xdr:rowOff>164123</xdr:rowOff>
    </xdr:from>
    <xdr:to>
      <xdr:col>11</xdr:col>
      <xdr:colOff>407378</xdr:colOff>
      <xdr:row>30</xdr:row>
      <xdr:rowOff>181707</xdr:rowOff>
    </xdr:to>
    <xdr:graphicFrame macro="">
      <xdr:nvGraphicFramePr>
        <xdr:cNvPr id="3" name="Chart 2">
          <a:extLst>
            <a:ext uri="{FF2B5EF4-FFF2-40B4-BE49-F238E27FC236}">
              <a16:creationId xmlns:a16="http://schemas.microsoft.com/office/drawing/2014/main" id="{14A7297A-BF1C-0E1F-0B87-99492029D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483235</xdr:colOff>
      <xdr:row>0</xdr:row>
      <xdr:rowOff>88900</xdr:rowOff>
    </xdr:from>
    <xdr:to>
      <xdr:col>9</xdr:col>
      <xdr:colOff>848360</xdr:colOff>
      <xdr:row>6</xdr:row>
      <xdr:rowOff>27940</xdr:rowOff>
    </xdr:to>
    <xdr:sp macro="" textlink="">
      <xdr:nvSpPr>
        <xdr:cNvPr id="2" name="TextBox 1">
          <a:extLst>
            <a:ext uri="{FF2B5EF4-FFF2-40B4-BE49-F238E27FC236}">
              <a16:creationId xmlns:a16="http://schemas.microsoft.com/office/drawing/2014/main" id="{074FD173-77DF-038C-61CA-EE38E033B61D}"/>
            </a:ext>
          </a:extLst>
        </xdr:cNvPr>
        <xdr:cNvSpPr txBox="1"/>
      </xdr:nvSpPr>
      <xdr:spPr>
        <a:xfrm>
          <a:off x="483235" y="88900"/>
          <a:ext cx="7251700" cy="1024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dk1"/>
              </a:solidFill>
              <a:latin typeface="Abadi" panose="020B0604020104020204" pitchFamily="34" charset="0"/>
              <a:ea typeface="+mn-ea"/>
              <a:cs typeface="+mn-cs"/>
            </a:rPr>
            <a:t>Una compañía farmacéutica está examinando la acidez como efecto secundario de su nuevo analgésico. ¿Qué conclusiones puedes hacer de la siguiente distribución marginal?</a:t>
          </a:r>
          <a:endParaRPr lang="en-US" sz="1400">
            <a:latin typeface="Abadi" panose="020B0604020104020204" pitchFamily="34" charset="0"/>
          </a:endParaRPr>
        </a:p>
      </xdr:txBody>
    </xdr:sp>
    <xdr:clientData/>
  </xdr:twoCellAnchor>
  <xdr:twoCellAnchor>
    <xdr:from>
      <xdr:col>10</xdr:col>
      <xdr:colOff>213360</xdr:colOff>
      <xdr:row>0</xdr:row>
      <xdr:rowOff>144780</xdr:rowOff>
    </xdr:from>
    <xdr:to>
      <xdr:col>14</xdr:col>
      <xdr:colOff>144780</xdr:colOff>
      <xdr:row>12</xdr:row>
      <xdr:rowOff>68580</xdr:rowOff>
    </xdr:to>
    <xdr:graphicFrame macro="">
      <xdr:nvGraphicFramePr>
        <xdr:cNvPr id="4" name="Chart 3">
          <a:extLst>
            <a:ext uri="{FF2B5EF4-FFF2-40B4-BE49-F238E27FC236}">
              <a16:creationId xmlns:a16="http://schemas.microsoft.com/office/drawing/2014/main" id="{14638CE6-5A35-D157-532D-0C51825A5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213360</xdr:colOff>
      <xdr:row>0</xdr:row>
      <xdr:rowOff>144780</xdr:rowOff>
    </xdr:from>
    <xdr:to>
      <xdr:col>19</xdr:col>
      <xdr:colOff>396240</xdr:colOff>
      <xdr:row>12</xdr:row>
      <xdr:rowOff>68580</xdr:rowOff>
    </xdr:to>
    <xdr:graphicFrame macro="">
      <xdr:nvGraphicFramePr>
        <xdr:cNvPr id="5" name="Chart 4">
          <a:extLst>
            <a:ext uri="{FF2B5EF4-FFF2-40B4-BE49-F238E27FC236}">
              <a16:creationId xmlns:a16="http://schemas.microsoft.com/office/drawing/2014/main" id="{6678FE7E-CD49-4EC8-2609-A3EA5BEEC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213360</xdr:colOff>
      <xdr:row>12</xdr:row>
      <xdr:rowOff>121920</xdr:rowOff>
    </xdr:from>
    <xdr:to>
      <xdr:col>14</xdr:col>
      <xdr:colOff>160020</xdr:colOff>
      <xdr:row>24</xdr:row>
      <xdr:rowOff>38100</xdr:rowOff>
    </xdr:to>
    <xdr:graphicFrame macro="">
      <xdr:nvGraphicFramePr>
        <xdr:cNvPr id="6" name="Chart 5">
          <a:extLst>
            <a:ext uri="{FF2B5EF4-FFF2-40B4-BE49-F238E27FC236}">
              <a16:creationId xmlns:a16="http://schemas.microsoft.com/office/drawing/2014/main" id="{6065234A-4310-3EDD-2946-DE8C08377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236220</xdr:colOff>
      <xdr:row>12</xdr:row>
      <xdr:rowOff>160019</xdr:rowOff>
    </xdr:from>
    <xdr:to>
      <xdr:col>19</xdr:col>
      <xdr:colOff>441960</xdr:colOff>
      <xdr:row>27</xdr:row>
      <xdr:rowOff>95249</xdr:rowOff>
    </xdr:to>
    <xdr:sp macro="" textlink="">
      <xdr:nvSpPr>
        <xdr:cNvPr id="7" name="TextBox 6">
          <a:extLst>
            <a:ext uri="{FF2B5EF4-FFF2-40B4-BE49-F238E27FC236}">
              <a16:creationId xmlns:a16="http://schemas.microsoft.com/office/drawing/2014/main" id="{15D316F6-33B4-336C-2CBE-BA7A9F3416F6}"/>
            </a:ext>
          </a:extLst>
        </xdr:cNvPr>
        <xdr:cNvSpPr txBox="1"/>
      </xdr:nvSpPr>
      <xdr:spPr>
        <a:xfrm>
          <a:off x="11694795" y="2331719"/>
          <a:ext cx="3253740" cy="2649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Conclusiones:</a:t>
          </a:r>
        </a:p>
        <a:p>
          <a:r>
            <a:rPr lang="en-US" sz="1100"/>
            <a:t>1.</a:t>
          </a:r>
          <a:r>
            <a:rPr lang="en-US" sz="1100" baseline="0"/>
            <a:t> Entre el 0.08% y el 1% de las personas tuvieron acidez con el analgésico. El 1% presentó azidez intensa.</a:t>
          </a:r>
        </a:p>
        <a:p>
          <a:r>
            <a:rPr lang="en-US" sz="1100" baseline="0"/>
            <a:t>2. Entre el 0.29% y 1.65% de las personas tuvieron acidez con el placebo. El 1.65% presentó acidez leve.</a:t>
          </a:r>
        </a:p>
        <a:p>
          <a:r>
            <a:rPr lang="en-US" sz="1100" baseline="0"/>
            <a:t>3. Menos del 1% de las personas presentaron algún tipo de acidez con el analgésico y el placebo.</a:t>
          </a:r>
        </a:p>
        <a:p>
          <a:r>
            <a:rPr lang="en-US" sz="1100" baseline="0"/>
            <a:t>4. Teniendo en cuenta los resultados, el efecto secundario de la acidez puede presentarse pero no es muy común que suceda.</a:t>
          </a:r>
        </a:p>
        <a:p>
          <a:r>
            <a:rPr lang="en-US" sz="1100" baseline="0"/>
            <a:t>5. Los mejores resultados se obtienen en la combinación de moléculas del placebo con el analgésico.</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167640</xdr:colOff>
      <xdr:row>0</xdr:row>
      <xdr:rowOff>114300</xdr:rowOff>
    </xdr:from>
    <xdr:to>
      <xdr:col>7</xdr:col>
      <xdr:colOff>259080</xdr:colOff>
      <xdr:row>3</xdr:row>
      <xdr:rowOff>30480</xdr:rowOff>
    </xdr:to>
    <xdr:sp macro="" textlink="">
      <xdr:nvSpPr>
        <xdr:cNvPr id="2" name="TextBox 1">
          <a:extLst>
            <a:ext uri="{FF2B5EF4-FFF2-40B4-BE49-F238E27FC236}">
              <a16:creationId xmlns:a16="http://schemas.microsoft.com/office/drawing/2014/main" id="{88B12D91-54E0-2B1F-269F-5A56FD760086}"/>
            </a:ext>
          </a:extLst>
        </xdr:cNvPr>
        <xdr:cNvSpPr txBox="1"/>
      </xdr:nvSpPr>
      <xdr:spPr>
        <a:xfrm>
          <a:off x="167640" y="114300"/>
          <a:ext cx="435864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latin typeface="+mn-lt"/>
              <a:ea typeface="+mn-ea"/>
              <a:cs typeface="+mn-cs"/>
            </a:rPr>
            <a:t>Ejercicio 9:</a:t>
          </a:r>
        </a:p>
        <a:p>
          <a:r>
            <a:rPr lang="en-US" sz="1100" b="0" i="0" u="none" strike="noStrike" baseline="0">
              <a:solidFill>
                <a:schemeClr val="dk1"/>
              </a:solidFill>
              <a:latin typeface="+mn-lt"/>
              <a:ea typeface="+mn-ea"/>
              <a:cs typeface="+mn-cs"/>
            </a:rPr>
            <a:t>Laura visita centros de investigación para un proyecto y registra cuántos papers le sirven a su proyecto de investigación de cada centro.</a:t>
          </a:r>
        </a:p>
        <a:p>
          <a:endParaRPr lang="en-US" sz="1100" b="0" i="0" u="none" strike="noStrike" baseline="0">
            <a:solidFill>
              <a:schemeClr val="dk1"/>
            </a:solidFill>
            <a:latin typeface="+mn-lt"/>
            <a:ea typeface="+mn-ea"/>
            <a:cs typeface="+mn-cs"/>
          </a:endParaRPr>
        </a:p>
        <a:p>
          <a:r>
            <a:rPr lang="en-US" sz="1100" b="1" i="0" u="none" strike="noStrike" baseline="0">
              <a:solidFill>
                <a:schemeClr val="dk1"/>
              </a:solidFill>
              <a:latin typeface="+mn-lt"/>
              <a:ea typeface="+mn-ea"/>
              <a:cs typeface="+mn-cs"/>
            </a:rPr>
            <a:t>Calcula el rango y el IQR de los datos: 6, 20, 21, 0, 3, 7, 7,6, ,21, 3, 3, 1.</a:t>
          </a:r>
          <a:endParaRPr lang="en-US" sz="1100" b="1"/>
        </a:p>
      </xdr:txBody>
    </xdr:sp>
    <xdr:clientData/>
  </xdr:twoCellAnchor>
  <xdr:twoCellAnchor>
    <xdr:from>
      <xdr:col>7</xdr:col>
      <xdr:colOff>472440</xdr:colOff>
      <xdr:row>0</xdr:row>
      <xdr:rowOff>129540</xdr:rowOff>
    </xdr:from>
    <xdr:to>
      <xdr:col>14</xdr:col>
      <xdr:colOff>563880</xdr:colOff>
      <xdr:row>1</xdr:row>
      <xdr:rowOff>640080</xdr:rowOff>
    </xdr:to>
    <xdr:sp macro="" textlink="">
      <xdr:nvSpPr>
        <xdr:cNvPr id="3" name="TextBox 2">
          <a:extLst>
            <a:ext uri="{FF2B5EF4-FFF2-40B4-BE49-F238E27FC236}">
              <a16:creationId xmlns:a16="http://schemas.microsoft.com/office/drawing/2014/main" id="{33B4FABE-9029-4EC6-91A9-D697FDCBF6E5}"/>
            </a:ext>
          </a:extLst>
        </xdr:cNvPr>
        <xdr:cNvSpPr txBox="1"/>
      </xdr:nvSpPr>
      <xdr:spPr>
        <a:xfrm>
          <a:off x="4739640" y="129540"/>
          <a:ext cx="5196840" cy="693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latin typeface="+mn-lt"/>
              <a:ea typeface="+mn-ea"/>
              <a:cs typeface="+mn-cs"/>
            </a:rPr>
            <a:t>Ejercicio 10:</a:t>
          </a:r>
        </a:p>
        <a:p>
          <a:r>
            <a:rPr lang="en-US" sz="1100" b="0" i="0" u="none" strike="noStrike" baseline="0">
              <a:solidFill>
                <a:schemeClr val="dk1"/>
              </a:solidFill>
              <a:latin typeface="+mn-lt"/>
              <a:ea typeface="+mn-ea"/>
              <a:cs typeface="+mn-cs"/>
            </a:rPr>
            <a:t>¿Cuál es el rango de los siguientes datos?</a:t>
          </a:r>
          <a:endParaRPr lang="en-US" sz="1100" b="1"/>
        </a:p>
      </xdr:txBody>
    </xdr:sp>
    <xdr:clientData/>
  </xdr:twoCellAnchor>
  <xdr:twoCellAnchor>
    <xdr:from>
      <xdr:col>21</xdr:col>
      <xdr:colOff>152400</xdr:colOff>
      <xdr:row>8</xdr:row>
      <xdr:rowOff>102870</xdr:rowOff>
    </xdr:from>
    <xdr:to>
      <xdr:col>27</xdr:col>
      <xdr:colOff>167640</xdr:colOff>
      <xdr:row>23</xdr:row>
      <xdr:rowOff>80010</xdr:rowOff>
    </xdr:to>
    <xdr:graphicFrame macro="">
      <xdr:nvGraphicFramePr>
        <xdr:cNvPr id="7" name="Chart 6">
          <a:extLst>
            <a:ext uri="{FF2B5EF4-FFF2-40B4-BE49-F238E27FC236}">
              <a16:creationId xmlns:a16="http://schemas.microsoft.com/office/drawing/2014/main" id="{C2961E80-F7CA-61DA-AC3A-CF32808AF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42</xdr:col>
      <xdr:colOff>240927</xdr:colOff>
      <xdr:row>6</xdr:row>
      <xdr:rowOff>168088</xdr:rowOff>
    </xdr:from>
    <xdr:ext cx="184731" cy="264560"/>
    <xdr:sp macro="" textlink="">
      <xdr:nvSpPr>
        <xdr:cNvPr id="14" name="TextBox 13">
          <a:extLst>
            <a:ext uri="{FF2B5EF4-FFF2-40B4-BE49-F238E27FC236}">
              <a16:creationId xmlns:a16="http://schemas.microsoft.com/office/drawing/2014/main" id="{D9AE34EA-C04A-79A0-623A-399691D4110B}"/>
            </a:ext>
          </a:extLst>
        </xdr:cNvPr>
        <xdr:cNvSpPr txBox="1"/>
      </xdr:nvSpPr>
      <xdr:spPr>
        <a:xfrm>
          <a:off x="28771103" y="20058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29</xdr:col>
      <xdr:colOff>413807</xdr:colOff>
      <xdr:row>9</xdr:row>
      <xdr:rowOff>84666</xdr:rowOff>
    </xdr:from>
    <xdr:to>
      <xdr:col>37</xdr:col>
      <xdr:colOff>142874</xdr:colOff>
      <xdr:row>31</xdr:row>
      <xdr:rowOff>173567</xdr:rowOff>
    </xdr:to>
    <xdr:grpSp>
      <xdr:nvGrpSpPr>
        <xdr:cNvPr id="21" name="Group 20">
          <a:extLst>
            <a:ext uri="{FF2B5EF4-FFF2-40B4-BE49-F238E27FC236}">
              <a16:creationId xmlns:a16="http://schemas.microsoft.com/office/drawing/2014/main" id="{CF9E808E-D25E-478E-23EB-C84E4E72E6AB}"/>
            </a:ext>
          </a:extLst>
        </xdr:cNvPr>
        <xdr:cNvGrpSpPr/>
      </xdr:nvGrpSpPr>
      <xdr:grpSpPr>
        <a:xfrm>
          <a:off x="20690627" y="2469726"/>
          <a:ext cx="5139267" cy="4127501"/>
          <a:chOff x="23054732" y="1256241"/>
          <a:chExt cx="5139267" cy="4089401"/>
        </a:xfrm>
      </xdr:grpSpPr>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6EE96EF-B9C9-69AB-3CDD-FF73EA5CEEBB}"/>
                  </a:ext>
                </a:extLst>
              </xdr:cNvPr>
              <xdr:cNvGraphicFramePr/>
            </xdr:nvGraphicFramePr>
            <xdr:xfrm>
              <a:off x="23054732" y="1256241"/>
              <a:ext cx="5139267" cy="4089401"/>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054732" y="1256241"/>
                <a:ext cx="5139267" cy="4089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nvGrpSpPr>
          <xdr:cNvPr id="20" name="Group 19">
            <a:extLst>
              <a:ext uri="{FF2B5EF4-FFF2-40B4-BE49-F238E27FC236}">
                <a16:creationId xmlns:a16="http://schemas.microsoft.com/office/drawing/2014/main" id="{AEE57574-4AE5-61C0-3D9F-B3BF5CA640B5}"/>
              </a:ext>
            </a:extLst>
          </xdr:cNvPr>
          <xdr:cNvGrpSpPr/>
        </xdr:nvGrpSpPr>
        <xdr:grpSpPr>
          <a:xfrm>
            <a:off x="26267708" y="2179545"/>
            <a:ext cx="1509433" cy="2428875"/>
            <a:chOff x="26267708" y="2179545"/>
            <a:chExt cx="1509433" cy="2428875"/>
          </a:xfrm>
        </xdr:grpSpPr>
        <xdr:sp macro="" textlink="">
          <xdr:nvSpPr>
            <xdr:cNvPr id="12" name="TextBox 11">
              <a:extLst>
                <a:ext uri="{FF2B5EF4-FFF2-40B4-BE49-F238E27FC236}">
                  <a16:creationId xmlns:a16="http://schemas.microsoft.com/office/drawing/2014/main" id="{B5BDE951-FBC5-D808-DE9E-0F3E98C9E13C}"/>
                </a:ext>
              </a:extLst>
            </xdr:cNvPr>
            <xdr:cNvSpPr txBox="1"/>
          </xdr:nvSpPr>
          <xdr:spPr>
            <a:xfrm>
              <a:off x="26267708" y="2179545"/>
              <a:ext cx="435909" cy="203386"/>
            </a:xfrm>
            <a:prstGeom prst="round2DiagRect">
              <a:avLst/>
            </a:prstGeom>
            <a:ln>
              <a:prstDash val="sysDash"/>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900" b="1"/>
                <a:t>Máx</a:t>
              </a:r>
            </a:p>
            <a:p>
              <a:endParaRPr lang="en-US" sz="1200" b="1"/>
            </a:p>
          </xdr:txBody>
        </xdr:sp>
        <xdr:sp macro="" textlink="">
          <xdr:nvSpPr>
            <xdr:cNvPr id="16" name="TextBox 15">
              <a:extLst>
                <a:ext uri="{FF2B5EF4-FFF2-40B4-BE49-F238E27FC236}">
                  <a16:creationId xmlns:a16="http://schemas.microsoft.com/office/drawing/2014/main" id="{D96B0E30-8CA7-436F-A80C-DB5C518D6F1C}"/>
                </a:ext>
              </a:extLst>
            </xdr:cNvPr>
            <xdr:cNvSpPr txBox="1"/>
          </xdr:nvSpPr>
          <xdr:spPr>
            <a:xfrm>
              <a:off x="26312532" y="4401112"/>
              <a:ext cx="437029" cy="207308"/>
            </a:xfrm>
            <a:prstGeom prst="round2DiagRect">
              <a:avLst/>
            </a:prstGeom>
            <a:solidFill>
              <a:srgbClr val="00B0F0"/>
            </a:solidFill>
            <a:ln>
              <a:prstDash val="sysDash"/>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900" b="1"/>
                <a:t>Min</a:t>
              </a:r>
            </a:p>
            <a:p>
              <a:endParaRPr lang="en-US" sz="1200" b="1"/>
            </a:p>
          </xdr:txBody>
        </xdr:sp>
        <xdr:sp macro="" textlink="">
          <xdr:nvSpPr>
            <xdr:cNvPr id="17" name="TextBox 16">
              <a:extLst>
                <a:ext uri="{FF2B5EF4-FFF2-40B4-BE49-F238E27FC236}">
                  <a16:creationId xmlns:a16="http://schemas.microsoft.com/office/drawing/2014/main" id="{C17832FF-4468-44AD-B088-B043243D1FD0}"/>
                </a:ext>
              </a:extLst>
            </xdr:cNvPr>
            <xdr:cNvSpPr txBox="1"/>
          </xdr:nvSpPr>
          <xdr:spPr>
            <a:xfrm>
              <a:off x="27077893" y="2733675"/>
              <a:ext cx="435909" cy="203386"/>
            </a:xfrm>
            <a:prstGeom prst="round2DiagRect">
              <a:avLst/>
            </a:prstGeom>
            <a:solidFill>
              <a:srgbClr val="FFFF00"/>
            </a:solidFill>
            <a:ln>
              <a:prstDash val="sysDash"/>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900" b="1"/>
                <a:t>Q3</a:t>
              </a:r>
            </a:p>
            <a:p>
              <a:endParaRPr lang="en-US" sz="1200" b="1"/>
            </a:p>
          </xdr:txBody>
        </xdr:sp>
        <xdr:sp macro="" textlink="">
          <xdr:nvSpPr>
            <xdr:cNvPr id="18" name="TextBox 17">
              <a:extLst>
                <a:ext uri="{FF2B5EF4-FFF2-40B4-BE49-F238E27FC236}">
                  <a16:creationId xmlns:a16="http://schemas.microsoft.com/office/drawing/2014/main" id="{F991E9EF-E5F0-426F-94EF-0EB026C9C6D0}"/>
                </a:ext>
              </a:extLst>
            </xdr:cNvPr>
            <xdr:cNvSpPr txBox="1"/>
          </xdr:nvSpPr>
          <xdr:spPr>
            <a:xfrm>
              <a:off x="27094702" y="3416674"/>
              <a:ext cx="682439" cy="207308"/>
            </a:xfrm>
            <a:prstGeom prst="round2DiagRect">
              <a:avLst/>
            </a:prstGeom>
            <a:solidFill>
              <a:schemeClr val="accent4">
                <a:lumMod val="75000"/>
              </a:schemeClr>
            </a:solidFill>
            <a:ln>
              <a:prstDash val="sysDash"/>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900" b="1">
                  <a:solidFill>
                    <a:schemeClr val="bg1"/>
                  </a:solidFill>
                </a:rPr>
                <a:t>Mediana</a:t>
              </a:r>
            </a:p>
            <a:p>
              <a:endParaRPr lang="en-US" sz="1200" b="1">
                <a:solidFill>
                  <a:schemeClr val="bg1"/>
                </a:solidFill>
              </a:endParaRPr>
            </a:p>
          </xdr:txBody>
        </xdr:sp>
        <xdr:sp macro="" textlink="">
          <xdr:nvSpPr>
            <xdr:cNvPr id="19" name="TextBox 18">
              <a:extLst>
                <a:ext uri="{FF2B5EF4-FFF2-40B4-BE49-F238E27FC236}">
                  <a16:creationId xmlns:a16="http://schemas.microsoft.com/office/drawing/2014/main" id="{56E79CA0-DE31-4428-9227-873818E23FDE}"/>
                </a:ext>
              </a:extLst>
            </xdr:cNvPr>
            <xdr:cNvSpPr txBox="1"/>
          </xdr:nvSpPr>
          <xdr:spPr>
            <a:xfrm>
              <a:off x="27161938" y="3737722"/>
              <a:ext cx="435909" cy="203386"/>
            </a:xfrm>
            <a:prstGeom prst="round2DiagRect">
              <a:avLst/>
            </a:prstGeom>
            <a:solidFill>
              <a:srgbClr val="002060"/>
            </a:solidFill>
            <a:ln>
              <a:prstDash val="sysDash"/>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900" b="1">
                  <a:solidFill>
                    <a:schemeClr val="bg1"/>
                  </a:solidFill>
                </a:rPr>
                <a:t>Q1</a:t>
              </a:r>
            </a:p>
            <a:p>
              <a:endParaRPr lang="en-US" sz="1200" b="1"/>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182880</xdr:colOff>
      <xdr:row>2</xdr:row>
      <xdr:rowOff>129540</xdr:rowOff>
    </xdr:from>
    <xdr:to>
      <xdr:col>12</xdr:col>
      <xdr:colOff>914400</xdr:colOff>
      <xdr:row>6</xdr:row>
      <xdr:rowOff>30480</xdr:rowOff>
    </xdr:to>
    <xdr:sp macro="" textlink="">
      <xdr:nvSpPr>
        <xdr:cNvPr id="2" name="TextBox 1">
          <a:extLst>
            <a:ext uri="{FF2B5EF4-FFF2-40B4-BE49-F238E27FC236}">
              <a16:creationId xmlns:a16="http://schemas.microsoft.com/office/drawing/2014/main" id="{223320A6-0137-6FA2-84EB-042AA416B56E}"/>
            </a:ext>
          </a:extLst>
        </xdr:cNvPr>
        <xdr:cNvSpPr txBox="1"/>
      </xdr:nvSpPr>
      <xdr:spPr>
        <a:xfrm>
          <a:off x="5692140" y="1226820"/>
          <a:ext cx="362712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La siguiente tabla muestra las actividades favoritas de</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estudiantes universitarios. ¿Qué se describe en la</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distribución marginal de la tabla?</a:t>
          </a:r>
          <a:r>
            <a:rPr lang="en-US">
              <a:effectLst/>
            </a:rPr>
            <a:t> </a:t>
          </a:r>
          <a:endParaRPr lang="en-US" sz="1100"/>
        </a:p>
      </xdr:txBody>
    </xdr:sp>
    <xdr:clientData/>
  </xdr:twoCellAnchor>
  <xdr:twoCellAnchor>
    <xdr:from>
      <xdr:col>1</xdr:col>
      <xdr:colOff>487680</xdr:colOff>
      <xdr:row>2</xdr:row>
      <xdr:rowOff>83820</xdr:rowOff>
    </xdr:from>
    <xdr:to>
      <xdr:col>7</xdr:col>
      <xdr:colOff>274320</xdr:colOff>
      <xdr:row>6</xdr:row>
      <xdr:rowOff>99060</xdr:rowOff>
    </xdr:to>
    <xdr:sp macro="" textlink="">
      <xdr:nvSpPr>
        <xdr:cNvPr id="3" name="TextBox 2">
          <a:extLst>
            <a:ext uri="{FF2B5EF4-FFF2-40B4-BE49-F238E27FC236}">
              <a16:creationId xmlns:a16="http://schemas.microsoft.com/office/drawing/2014/main" id="{A7E04A7D-C050-F44D-BA1F-2B03281DF982}"/>
            </a:ext>
          </a:extLst>
        </xdr:cNvPr>
        <xdr:cNvSpPr txBox="1"/>
      </xdr:nvSpPr>
      <xdr:spPr>
        <a:xfrm>
          <a:off x="1097280" y="1181100"/>
          <a:ext cx="394716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De la siguiente tabla, ¿qué porcentaje de estudiantes de cuarto año estudia arquitectura?</a:t>
          </a:r>
        </a:p>
        <a:p>
          <a:r>
            <a:rPr lang="en-US"/>
            <a:t>ArteArquitecturaMúsicaTotal</a:t>
          </a:r>
          <a:endParaRPr lang="en-US" sz="1100"/>
        </a:p>
      </xdr:txBody>
    </xdr:sp>
    <xdr:clientData/>
  </xdr:twoCellAnchor>
  <xdr:twoCellAnchor>
    <xdr:from>
      <xdr:col>8</xdr:col>
      <xdr:colOff>38100</xdr:colOff>
      <xdr:row>13</xdr:row>
      <xdr:rowOff>129540</xdr:rowOff>
    </xdr:from>
    <xdr:to>
      <xdr:col>12</xdr:col>
      <xdr:colOff>579120</xdr:colOff>
      <xdr:row>17</xdr:row>
      <xdr:rowOff>0</xdr:rowOff>
    </xdr:to>
    <xdr:sp macro="" textlink="">
      <xdr:nvSpPr>
        <xdr:cNvPr id="4" name="TextBox 3">
          <a:extLst>
            <a:ext uri="{FF2B5EF4-FFF2-40B4-BE49-F238E27FC236}">
              <a16:creationId xmlns:a16="http://schemas.microsoft.com/office/drawing/2014/main" id="{4C84A32B-EE79-AA2B-7081-1936A218821E}"/>
            </a:ext>
          </a:extLst>
        </xdr:cNvPr>
        <xdr:cNvSpPr txBox="1"/>
      </xdr:nvSpPr>
      <xdr:spPr>
        <a:xfrm>
          <a:off x="6743700" y="2537460"/>
          <a:ext cx="3192780" cy="601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Encuentra la media y la desviación estándar para el siguiente conjunto de datos: 7, 4, 4, 1, 3.</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525780</xdr:colOff>
      <xdr:row>3</xdr:row>
      <xdr:rowOff>118110</xdr:rowOff>
    </xdr:from>
    <xdr:to>
      <xdr:col>13</xdr:col>
      <xdr:colOff>220980</xdr:colOff>
      <xdr:row>31</xdr:row>
      <xdr:rowOff>171450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F10F1F9-E792-2136-FF35-B4A4E298B2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7840" y="742950"/>
              <a:ext cx="4572000" cy="5356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106680</xdr:colOff>
      <xdr:row>0</xdr:row>
      <xdr:rowOff>114300</xdr:rowOff>
    </xdr:from>
    <xdr:to>
      <xdr:col>9</xdr:col>
      <xdr:colOff>342900</xdr:colOff>
      <xdr:row>9</xdr:row>
      <xdr:rowOff>30480</xdr:rowOff>
    </xdr:to>
    <xdr:sp macro="" textlink="">
      <xdr:nvSpPr>
        <xdr:cNvPr id="2" name="TextBox 1">
          <a:extLst>
            <a:ext uri="{FF2B5EF4-FFF2-40B4-BE49-F238E27FC236}">
              <a16:creationId xmlns:a16="http://schemas.microsoft.com/office/drawing/2014/main" id="{DE4D71A5-84DE-3AC6-F54F-1C4756A88AB7}"/>
            </a:ext>
          </a:extLst>
        </xdr:cNvPr>
        <xdr:cNvSpPr txBox="1"/>
      </xdr:nvSpPr>
      <xdr:spPr>
        <a:xfrm>
          <a:off x="106680" y="114300"/>
          <a:ext cx="572262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dk1"/>
              </a:solidFill>
              <a:latin typeface="Arial" panose="020B0604020202020204" pitchFamily="34" charset="0"/>
              <a:ea typeface="+mn-ea"/>
              <a:cs typeface="Arial" panose="020B0604020202020204" pitchFamily="34" charset="0"/>
            </a:rPr>
            <a:t>Ejercicio 15:</a:t>
          </a:r>
        </a:p>
        <a:p>
          <a:r>
            <a:rPr lang="en-US" sz="1400" b="0" i="0" u="none" strike="noStrike" baseline="0">
              <a:solidFill>
                <a:schemeClr val="dk1"/>
              </a:solidFill>
              <a:latin typeface="Arial" panose="020B0604020202020204" pitchFamily="34" charset="0"/>
              <a:ea typeface="+mn-ea"/>
              <a:cs typeface="Arial" panose="020B0604020202020204" pitchFamily="34" charset="0"/>
            </a:rPr>
            <a:t>El siguiente diagrama de tallo y hoja muestra el número de piezas de ropa en cada perchero en una tienda de ropa.</a:t>
          </a:r>
        </a:p>
        <a:p>
          <a:endParaRPr lang="en-US" sz="1400" b="0" i="0" u="none" strike="noStrike" baseline="0">
            <a:solidFill>
              <a:schemeClr val="dk1"/>
            </a:solidFill>
            <a:latin typeface="Arial" panose="020B0604020202020204" pitchFamily="34" charset="0"/>
            <a:ea typeface="+mn-ea"/>
            <a:cs typeface="Arial" panose="020B0604020202020204" pitchFamily="34" charset="0"/>
          </a:endParaRPr>
        </a:p>
        <a:p>
          <a:r>
            <a:rPr lang="en-US" sz="1400" b="0" i="0" u="none" strike="noStrike" baseline="0">
              <a:solidFill>
                <a:schemeClr val="dk1"/>
              </a:solidFill>
              <a:latin typeface="Arial" panose="020B0604020202020204" pitchFamily="34" charset="0"/>
              <a:ea typeface="+mn-ea"/>
              <a:cs typeface="Arial" panose="020B0604020202020204" pitchFamily="34" charset="0"/>
            </a:rPr>
            <a:t>Crea un histograma a partir del diagrama de tallos y usa cubos de tamaño 10. (Recuerda que 1 | = 10)</a:t>
          </a:r>
          <a:endParaRPr lang="en-US" sz="1400">
            <a:latin typeface="Arial" panose="020B0604020202020204" pitchFamily="34" charset="0"/>
            <a:cs typeface="Arial" panose="020B0604020202020204" pitchFamily="34" charset="0"/>
          </a:endParaRPr>
        </a:p>
      </xdr:txBody>
    </xdr:sp>
    <xdr:clientData/>
  </xdr:twoCellAnchor>
  <xdr:twoCellAnchor editAs="oneCell">
    <xdr:from>
      <xdr:col>0</xdr:col>
      <xdr:colOff>220980</xdr:colOff>
      <xdr:row>9</xdr:row>
      <xdr:rowOff>175260</xdr:rowOff>
    </xdr:from>
    <xdr:to>
      <xdr:col>6</xdr:col>
      <xdr:colOff>7918</xdr:colOff>
      <xdr:row>22</xdr:row>
      <xdr:rowOff>106889</xdr:rowOff>
    </xdr:to>
    <xdr:pic>
      <xdr:nvPicPr>
        <xdr:cNvPr id="3" name="Picture 2">
          <a:extLst>
            <a:ext uri="{FF2B5EF4-FFF2-40B4-BE49-F238E27FC236}">
              <a16:creationId xmlns:a16="http://schemas.microsoft.com/office/drawing/2014/main" id="{2451A5C7-F98F-E5CA-58AF-10CCB8C5F7C0}"/>
            </a:ext>
          </a:extLst>
        </xdr:cNvPr>
        <xdr:cNvPicPr>
          <a:picLocks noChangeAspect="1"/>
        </xdr:cNvPicPr>
      </xdr:nvPicPr>
      <xdr:blipFill>
        <a:blip xmlns:r="http://schemas.openxmlformats.org/officeDocument/2006/relationships" r:embed="rId1"/>
        <a:stretch>
          <a:fillRect/>
        </a:stretch>
      </xdr:blipFill>
      <xdr:spPr>
        <a:xfrm>
          <a:off x="220980" y="1821180"/>
          <a:ext cx="3444538" cy="2408129"/>
        </a:xfrm>
        <a:prstGeom prst="rect">
          <a:avLst/>
        </a:prstGeom>
      </xdr:spPr>
    </xdr:pic>
    <xdr:clientData/>
  </xdr:twoCellAnchor>
  <xdr:twoCellAnchor>
    <xdr:from>
      <xdr:col>11</xdr:col>
      <xdr:colOff>709352</xdr:colOff>
      <xdr:row>2</xdr:row>
      <xdr:rowOff>54725</xdr:rowOff>
    </xdr:from>
    <xdr:to>
      <xdr:col>19</xdr:col>
      <xdr:colOff>58189</xdr:colOff>
      <xdr:row>16</xdr:row>
      <xdr:rowOff>134389</xdr:rowOff>
    </xdr:to>
    <xdr:graphicFrame macro="">
      <xdr:nvGraphicFramePr>
        <xdr:cNvPr id="6" name="Chart 5">
          <a:extLst>
            <a:ext uri="{FF2B5EF4-FFF2-40B4-BE49-F238E27FC236}">
              <a16:creationId xmlns:a16="http://schemas.microsoft.com/office/drawing/2014/main" id="{0EC08669-058F-ABDD-E2DB-52D6ABF6F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129540</xdr:colOff>
      <xdr:row>0</xdr:row>
      <xdr:rowOff>83820</xdr:rowOff>
    </xdr:from>
    <xdr:to>
      <xdr:col>11</xdr:col>
      <xdr:colOff>190500</xdr:colOff>
      <xdr:row>9</xdr:row>
      <xdr:rowOff>91440</xdr:rowOff>
    </xdr:to>
    <xdr:sp macro="" textlink="">
      <xdr:nvSpPr>
        <xdr:cNvPr id="2" name="TextBox 1">
          <a:extLst>
            <a:ext uri="{FF2B5EF4-FFF2-40B4-BE49-F238E27FC236}">
              <a16:creationId xmlns:a16="http://schemas.microsoft.com/office/drawing/2014/main" id="{024C6A2D-4683-3BA6-E8D2-CB99756BF283}"/>
            </a:ext>
          </a:extLst>
        </xdr:cNvPr>
        <xdr:cNvSpPr txBox="1"/>
      </xdr:nvSpPr>
      <xdr:spPr>
        <a:xfrm>
          <a:off x="129540" y="83820"/>
          <a:ext cx="6766560" cy="1653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dk1"/>
              </a:solidFill>
              <a:latin typeface="+mn-lt"/>
              <a:ea typeface="+mn-ea"/>
              <a:cs typeface="+mn-cs"/>
            </a:rPr>
            <a:t>Ejercicio 16:</a:t>
          </a:r>
        </a:p>
        <a:p>
          <a:r>
            <a:rPr lang="en-US" sz="1400" b="0" i="0" u="none" strike="noStrike" baseline="0">
              <a:solidFill>
                <a:schemeClr val="dk1"/>
              </a:solidFill>
              <a:latin typeface="+mn-lt"/>
              <a:ea typeface="+mn-ea"/>
              <a:cs typeface="+mn-cs"/>
            </a:rPr>
            <a:t>La cantidad de mensajes de texto enviados cada día por la mamá de Lucy son: 0, 18, 19, 20,</a:t>
          </a:r>
        </a:p>
        <a:p>
          <a:r>
            <a:rPr lang="en-US" sz="1400" b="0" i="0" u="none" strike="noStrike" baseline="0">
              <a:solidFill>
                <a:schemeClr val="dk1"/>
              </a:solidFill>
              <a:latin typeface="+mn-lt"/>
              <a:ea typeface="+mn-ea"/>
              <a:cs typeface="+mn-cs"/>
            </a:rPr>
            <a:t>20, 20, 21, 23, 23, 23, 24, 24, 24, 24, 24, 25, 25, 25, 25, 25, 25, 30, 30, 31.</a:t>
          </a:r>
        </a:p>
        <a:p>
          <a:endParaRPr lang="en-US" sz="1400" b="0" i="0" u="none" strike="noStrike" baseline="0">
            <a:solidFill>
              <a:schemeClr val="dk1"/>
            </a:solidFill>
            <a:latin typeface="+mn-lt"/>
            <a:ea typeface="+mn-ea"/>
            <a:cs typeface="+mn-cs"/>
          </a:endParaRPr>
        </a:p>
        <a:p>
          <a:r>
            <a:rPr lang="en-US" sz="1400" b="0" i="0" u="none" strike="noStrike" baseline="0">
              <a:solidFill>
                <a:schemeClr val="dk1"/>
              </a:solidFill>
              <a:latin typeface="+mn-lt"/>
              <a:ea typeface="+mn-ea"/>
              <a:cs typeface="+mn-cs"/>
            </a:rPr>
            <a:t>¿Hay valores atípicos en el conjunto de datos? Si es así, indica cuáles son. ¿Cuál es la mejor</a:t>
          </a:r>
        </a:p>
        <a:p>
          <a:r>
            <a:rPr lang="en-US" sz="1400" b="0" i="0" u="none" strike="noStrike" baseline="0">
              <a:solidFill>
                <a:schemeClr val="dk1"/>
              </a:solidFill>
              <a:latin typeface="+mn-lt"/>
              <a:ea typeface="+mn-ea"/>
              <a:cs typeface="+mn-cs"/>
            </a:rPr>
            <a:t>medida de tendencia central para los datos? ¿Cuál es la mejor medida de propagación?</a:t>
          </a:r>
          <a:endParaRPr lang="en-US" sz="1400"/>
        </a:p>
      </xdr:txBody>
    </xdr:sp>
    <xdr:clientData/>
  </xdr:twoCellAnchor>
  <xdr:twoCellAnchor>
    <xdr:from>
      <xdr:col>14</xdr:col>
      <xdr:colOff>128152</xdr:colOff>
      <xdr:row>0</xdr:row>
      <xdr:rowOff>176645</xdr:rowOff>
    </xdr:from>
    <xdr:to>
      <xdr:col>19</xdr:col>
      <xdr:colOff>284017</xdr:colOff>
      <xdr:row>28</xdr:row>
      <xdr:rowOff>159327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F088472-BFFB-B33B-FB91-41B67FE516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811392" y="176645"/>
              <a:ext cx="3539145" cy="53014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128154</xdr:colOff>
      <xdr:row>9</xdr:row>
      <xdr:rowOff>114301</xdr:rowOff>
    </xdr:from>
    <xdr:to>
      <xdr:col>5</xdr:col>
      <xdr:colOff>481445</xdr:colOff>
      <xdr:row>24</xdr:row>
      <xdr:rowOff>142010</xdr:rowOff>
    </xdr:to>
    <xdr:graphicFrame macro="">
      <xdr:nvGraphicFramePr>
        <xdr:cNvPr id="6" name="Chart 5">
          <a:extLst>
            <a:ext uri="{FF2B5EF4-FFF2-40B4-BE49-F238E27FC236}">
              <a16:creationId xmlns:a16="http://schemas.microsoft.com/office/drawing/2014/main" id="{74D4438B-D4D9-C40B-241A-F32B35B7A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574964</xdr:colOff>
      <xdr:row>12</xdr:row>
      <xdr:rowOff>90055</xdr:rowOff>
    </xdr:from>
    <xdr:to>
      <xdr:col>2</xdr:col>
      <xdr:colOff>574964</xdr:colOff>
      <xdr:row>22</xdr:row>
      <xdr:rowOff>13853</xdr:rowOff>
    </xdr:to>
    <xdr:cxnSp macro="">
      <xdr:nvCxnSpPr>
        <xdr:cNvPr id="9" name="Straight Connector 8">
          <a:extLst>
            <a:ext uri="{FF2B5EF4-FFF2-40B4-BE49-F238E27FC236}">
              <a16:creationId xmlns:a16="http://schemas.microsoft.com/office/drawing/2014/main" id="{3FFF71EE-1D82-45E5-B650-6F59D7665DC6}"/>
            </a:ext>
          </a:extLst>
        </xdr:cNvPr>
        <xdr:cNvCxnSpPr/>
      </xdr:nvCxnSpPr>
      <xdr:spPr>
        <a:xfrm flipV="1">
          <a:off x="2964873" y="2452255"/>
          <a:ext cx="0" cy="1724889"/>
        </a:xfrm>
        <a:prstGeom prst="line">
          <a:avLst/>
        </a:prstGeom>
        <a:ln w="9525" cap="flat" cmpd="sng" algn="ctr">
          <a:solidFill>
            <a:schemeClr val="tx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235528</xdr:colOff>
      <xdr:row>13</xdr:row>
      <xdr:rowOff>117764</xdr:rowOff>
    </xdr:from>
    <xdr:to>
      <xdr:col>2</xdr:col>
      <xdr:colOff>235528</xdr:colOff>
      <xdr:row>21</xdr:row>
      <xdr:rowOff>173181</xdr:rowOff>
    </xdr:to>
    <xdr:cxnSp macro="">
      <xdr:nvCxnSpPr>
        <xdr:cNvPr id="16" name="Straight Connector 15">
          <a:extLst>
            <a:ext uri="{FF2B5EF4-FFF2-40B4-BE49-F238E27FC236}">
              <a16:creationId xmlns:a16="http://schemas.microsoft.com/office/drawing/2014/main" id="{C08CCD26-3441-4BF0-A269-691AE44AC6D0}"/>
            </a:ext>
          </a:extLst>
        </xdr:cNvPr>
        <xdr:cNvCxnSpPr/>
      </xdr:nvCxnSpPr>
      <xdr:spPr>
        <a:xfrm flipV="1">
          <a:off x="2625437" y="2660073"/>
          <a:ext cx="0" cy="1496290"/>
        </a:xfrm>
        <a:prstGeom prst="line">
          <a:avLst/>
        </a:prstGeom>
        <a:ln w="9525" cap="flat" cmpd="sng" algn="ctr">
          <a:solidFill>
            <a:schemeClr val="tx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1413164</xdr:colOff>
      <xdr:row>16</xdr:row>
      <xdr:rowOff>166255</xdr:rowOff>
    </xdr:from>
    <xdr:to>
      <xdr:col>1</xdr:col>
      <xdr:colOff>1413164</xdr:colOff>
      <xdr:row>21</xdr:row>
      <xdr:rowOff>159326</xdr:rowOff>
    </xdr:to>
    <xdr:cxnSp macro="">
      <xdr:nvCxnSpPr>
        <xdr:cNvPr id="17" name="Straight Connector 16">
          <a:extLst>
            <a:ext uri="{FF2B5EF4-FFF2-40B4-BE49-F238E27FC236}">
              <a16:creationId xmlns:a16="http://schemas.microsoft.com/office/drawing/2014/main" id="{353E16A8-F8BA-4752-83C9-D4EFBA9249B8}"/>
            </a:ext>
          </a:extLst>
        </xdr:cNvPr>
        <xdr:cNvCxnSpPr/>
      </xdr:nvCxnSpPr>
      <xdr:spPr>
        <a:xfrm flipV="1">
          <a:off x="2272146" y="3248891"/>
          <a:ext cx="0" cy="893617"/>
        </a:xfrm>
        <a:prstGeom prst="line">
          <a:avLst/>
        </a:prstGeom>
        <a:ln w="9525" cap="flat" cmpd="sng" algn="ctr">
          <a:solidFill>
            <a:srgbClr val="00B0F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526473</xdr:colOff>
      <xdr:row>10</xdr:row>
      <xdr:rowOff>325582</xdr:rowOff>
    </xdr:from>
    <xdr:to>
      <xdr:col>3</xdr:col>
      <xdr:colOff>540327</xdr:colOff>
      <xdr:row>11</xdr:row>
      <xdr:rowOff>138545</xdr:rowOff>
    </xdr:to>
    <xdr:sp macro="" textlink="">
      <xdr:nvSpPr>
        <xdr:cNvPr id="21" name="TextBox 20">
          <a:extLst>
            <a:ext uri="{FF2B5EF4-FFF2-40B4-BE49-F238E27FC236}">
              <a16:creationId xmlns:a16="http://schemas.microsoft.com/office/drawing/2014/main" id="{9DF37E1C-E661-9872-0735-442DF86164FC}"/>
            </a:ext>
          </a:extLst>
        </xdr:cNvPr>
        <xdr:cNvSpPr txBox="1"/>
      </xdr:nvSpPr>
      <xdr:spPr>
        <a:xfrm>
          <a:off x="2916382" y="2140527"/>
          <a:ext cx="623454" cy="180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Moda</a:t>
          </a:r>
        </a:p>
      </xdr:txBody>
    </xdr:sp>
    <xdr:clientData/>
  </xdr:twoCellAnchor>
  <xdr:twoCellAnchor>
    <xdr:from>
      <xdr:col>1</xdr:col>
      <xdr:colOff>1149927</xdr:colOff>
      <xdr:row>12</xdr:row>
      <xdr:rowOff>90055</xdr:rowOff>
    </xdr:from>
    <xdr:to>
      <xdr:col>2</xdr:col>
      <xdr:colOff>242454</xdr:colOff>
      <xdr:row>13</xdr:row>
      <xdr:rowOff>90055</xdr:rowOff>
    </xdr:to>
    <xdr:sp macro="" textlink="">
      <xdr:nvSpPr>
        <xdr:cNvPr id="22" name="TextBox 21">
          <a:extLst>
            <a:ext uri="{FF2B5EF4-FFF2-40B4-BE49-F238E27FC236}">
              <a16:creationId xmlns:a16="http://schemas.microsoft.com/office/drawing/2014/main" id="{D6E10E02-FA4B-49AC-9298-9B02878D035C}"/>
            </a:ext>
          </a:extLst>
        </xdr:cNvPr>
        <xdr:cNvSpPr txBox="1"/>
      </xdr:nvSpPr>
      <xdr:spPr>
        <a:xfrm>
          <a:off x="2008909" y="2452255"/>
          <a:ext cx="623454" cy="180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Mediana</a:t>
          </a:r>
        </a:p>
      </xdr:txBody>
    </xdr:sp>
    <xdr:clientData/>
  </xdr:twoCellAnchor>
  <xdr:twoCellAnchor>
    <xdr:from>
      <xdr:col>1</xdr:col>
      <xdr:colOff>810491</xdr:colOff>
      <xdr:row>15</xdr:row>
      <xdr:rowOff>96983</xdr:rowOff>
    </xdr:from>
    <xdr:to>
      <xdr:col>1</xdr:col>
      <xdr:colOff>1433945</xdr:colOff>
      <xdr:row>16</xdr:row>
      <xdr:rowOff>96983</xdr:rowOff>
    </xdr:to>
    <xdr:sp macro="" textlink="">
      <xdr:nvSpPr>
        <xdr:cNvPr id="25" name="TextBox 24">
          <a:extLst>
            <a:ext uri="{FF2B5EF4-FFF2-40B4-BE49-F238E27FC236}">
              <a16:creationId xmlns:a16="http://schemas.microsoft.com/office/drawing/2014/main" id="{A55EC062-172F-4920-8C3E-057B1831B990}"/>
            </a:ext>
          </a:extLst>
        </xdr:cNvPr>
        <xdr:cNvSpPr txBox="1"/>
      </xdr:nvSpPr>
      <xdr:spPr>
        <a:xfrm>
          <a:off x="1669473" y="2999510"/>
          <a:ext cx="623454" cy="180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Media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106680</xdr:colOff>
      <xdr:row>0</xdr:row>
      <xdr:rowOff>53340</xdr:rowOff>
    </xdr:from>
    <xdr:to>
      <xdr:col>5</xdr:col>
      <xdr:colOff>312420</xdr:colOff>
      <xdr:row>7</xdr:row>
      <xdr:rowOff>45720</xdr:rowOff>
    </xdr:to>
    <xdr:sp macro="" textlink="">
      <xdr:nvSpPr>
        <xdr:cNvPr id="2" name="TextBox 1">
          <a:extLst>
            <a:ext uri="{FF2B5EF4-FFF2-40B4-BE49-F238E27FC236}">
              <a16:creationId xmlns:a16="http://schemas.microsoft.com/office/drawing/2014/main" id="{64784AB0-056A-3F71-061F-67C71CC5FAA7}"/>
            </a:ext>
          </a:extLst>
        </xdr:cNvPr>
        <xdr:cNvSpPr txBox="1"/>
      </xdr:nvSpPr>
      <xdr:spPr>
        <a:xfrm>
          <a:off x="106680" y="53340"/>
          <a:ext cx="4152900" cy="1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La siguiente tabla mide el peso en libras y la altura en centímetros a bebés y niñas de 3</a:t>
          </a:r>
        </a:p>
        <a:p>
          <a:r>
            <a:rPr lang="en-US" sz="1100" b="0" i="0" u="none" strike="noStrike" baseline="0">
              <a:solidFill>
                <a:schemeClr val="dk1"/>
              </a:solidFill>
              <a:latin typeface="+mn-lt"/>
              <a:ea typeface="+mn-ea"/>
              <a:cs typeface="+mn-cs"/>
            </a:rPr>
            <a:t>meses.</a:t>
          </a:r>
        </a:p>
        <a:p>
          <a:r>
            <a:rPr lang="en-US" sz="1100" b="0" i="0" u="none" strike="noStrike" baseline="0">
              <a:solidFill>
                <a:schemeClr val="dk1"/>
              </a:solidFill>
              <a:latin typeface="+mn-lt"/>
              <a:ea typeface="+mn-ea"/>
              <a:cs typeface="+mn-cs"/>
            </a:rPr>
            <a:t>Grafica los puntos de la misma en un gráfico de dispersión y describe la tendencia lo más</a:t>
          </a:r>
        </a:p>
        <a:p>
          <a:r>
            <a:rPr lang="en-US" sz="1100" b="0" i="0" u="none" strike="noStrike" baseline="0">
              <a:solidFill>
                <a:schemeClr val="dk1"/>
              </a:solidFill>
              <a:latin typeface="+mn-lt"/>
              <a:ea typeface="+mn-ea"/>
              <a:cs typeface="+mn-cs"/>
            </a:rPr>
            <a:t>detallado posible con base en tus observaciones.</a:t>
          </a:r>
          <a:endParaRPr lang="en-US" sz="1100"/>
        </a:p>
      </xdr:txBody>
    </xdr:sp>
    <xdr:clientData/>
  </xdr:twoCellAnchor>
  <xdr:twoCellAnchor>
    <xdr:from>
      <xdr:col>0</xdr:col>
      <xdr:colOff>464820</xdr:colOff>
      <xdr:row>16</xdr:row>
      <xdr:rowOff>156210</xdr:rowOff>
    </xdr:from>
    <xdr:to>
      <xdr:col>6</xdr:col>
      <xdr:colOff>373380</xdr:colOff>
      <xdr:row>31</xdr:row>
      <xdr:rowOff>156210</xdr:rowOff>
    </xdr:to>
    <xdr:graphicFrame macro="">
      <xdr:nvGraphicFramePr>
        <xdr:cNvPr id="3" name="Chart 2">
          <a:extLst>
            <a:ext uri="{FF2B5EF4-FFF2-40B4-BE49-F238E27FC236}">
              <a16:creationId xmlns:a16="http://schemas.microsoft.com/office/drawing/2014/main" id="{3C82BB9F-9037-438E-D75E-1621ABB97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4</xdr:row>
      <xdr:rowOff>167640</xdr:rowOff>
    </xdr:from>
    <xdr:to>
      <xdr:col>15</xdr:col>
      <xdr:colOff>342900</xdr:colOff>
      <xdr:row>21</xdr:row>
      <xdr:rowOff>7620</xdr:rowOff>
    </xdr:to>
    <xdr:sp macro="" textlink="">
      <xdr:nvSpPr>
        <xdr:cNvPr id="4" name="TextBox 3">
          <a:extLst>
            <a:ext uri="{FF2B5EF4-FFF2-40B4-BE49-F238E27FC236}">
              <a16:creationId xmlns:a16="http://schemas.microsoft.com/office/drawing/2014/main" id="{3CDD129E-D6FE-2510-BABF-C482AD3EEC1E}"/>
            </a:ext>
          </a:extLst>
        </xdr:cNvPr>
        <xdr:cNvSpPr txBox="1"/>
      </xdr:nvSpPr>
      <xdr:spPr>
        <a:xfrm>
          <a:off x="5234940" y="899160"/>
          <a:ext cx="5257800" cy="2948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a:solidFill>
                <a:schemeClr val="dk1"/>
              </a:solidFill>
              <a:effectLst/>
              <a:latin typeface="Abadi Extra Light" panose="020B0204020104020204" pitchFamily="34" charset="0"/>
              <a:ea typeface="+mn-ea"/>
              <a:cs typeface="+mn-cs"/>
            </a:rPr>
            <a:t>Al observar el gráfico de dispersión, podemos notar que existe una relación entre el peso y la altura de los bebés y niñas de 3 meses. A medida que aumenta el peso, generalmente también aumenta la altura, lo que indica una correlación positiva entre estas dos variables.</a:t>
          </a:r>
        </a:p>
        <a:p>
          <a:endParaRPr lang="en-US" sz="1200" b="0" i="0">
            <a:solidFill>
              <a:schemeClr val="dk1"/>
            </a:solidFill>
            <a:effectLst/>
            <a:latin typeface="Abadi Extra Light" panose="020B0204020104020204" pitchFamily="34" charset="0"/>
            <a:ea typeface="+mn-ea"/>
            <a:cs typeface="+mn-cs"/>
          </a:endParaRPr>
        </a:p>
        <a:p>
          <a:r>
            <a:rPr lang="en-US" sz="1200" b="0" i="0">
              <a:solidFill>
                <a:schemeClr val="dk1"/>
              </a:solidFill>
              <a:effectLst/>
              <a:latin typeface="Abadi Extra Light" panose="020B0204020104020204" pitchFamily="34" charset="0"/>
              <a:ea typeface="+mn-ea"/>
              <a:cs typeface="+mn-cs"/>
            </a:rPr>
            <a:t>Sin embargo, es importante destacar que los puntos no forman una línea perfectamente recta, lo que sugiere que la relación entre el peso y la altura puede ser más compleja. Podemos observar que hay cierta dispersión en los datos, lo que indica que hay otros factores que también influyen en la altura de los bebés además del peso.</a:t>
          </a:r>
        </a:p>
        <a:p>
          <a:endParaRPr lang="en-US" sz="1200" b="0" i="0">
            <a:solidFill>
              <a:schemeClr val="dk1"/>
            </a:solidFill>
            <a:effectLst/>
            <a:latin typeface="Abadi Extra Light" panose="020B0204020104020204" pitchFamily="34" charset="0"/>
            <a:ea typeface="+mn-ea"/>
            <a:cs typeface="+mn-cs"/>
          </a:endParaRPr>
        </a:p>
        <a:p>
          <a:r>
            <a:rPr lang="en-US" sz="1200" b="0" i="0">
              <a:solidFill>
                <a:schemeClr val="dk1"/>
              </a:solidFill>
              <a:effectLst/>
              <a:latin typeface="Abadi Extra Light" panose="020B0204020104020204" pitchFamily="34" charset="0"/>
              <a:ea typeface="+mn-ea"/>
              <a:cs typeface="+mn-cs"/>
            </a:rPr>
            <a:t>A pesar de la dispersión, se puede notar una tendencia general ascendente en el gráfico, lo que implica que en promedio, a medida que aumenta el peso, también aumenta la altura de los bebés y niñas de 3 meses.</a:t>
          </a:r>
        </a:p>
        <a:p>
          <a:endParaRPr lang="en-US" sz="1200">
            <a:latin typeface="Abadi Extra Light" panose="020B0204020104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1.43011134259" createdVersion="8" refreshedVersion="8" minRefreshableVersion="3" recordCount="15" xr:uid="{72E6F28A-9574-4D0F-949D-882B8E117314}">
  <cacheSource type="worksheet">
    <worksheetSource name="Table1[Número de colores]"/>
  </cacheSource>
  <cacheFields count="1">
    <cacheField name="Número de colores" numFmtId="0">
      <sharedItems containsSemiMixedTypes="0" containsString="0" containsNumber="1" containsInteger="1" minValue="2" maxValue="18" count="10">
        <n v="5"/>
        <n v="2"/>
        <n v="6"/>
        <n v="10"/>
        <n v="12"/>
        <n v="16"/>
        <n v="14"/>
        <n v="15"/>
        <n v="17"/>
        <n v="18"/>
      </sharedItems>
      <fieldGroup base="0">
        <rangePr autoStart="0" autoEnd="0" startNum="1" endNum="20" groupInterval="5"/>
        <groupItems count="6">
          <s v="&lt;1"/>
          <s v="1-5"/>
          <s v="6-10"/>
          <s v="11-15"/>
          <s v="16-20"/>
          <s v="&gt;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1.53670960648" createdVersion="8" refreshedVersion="8" minRefreshableVersion="3" recordCount="6" xr:uid="{D5DB422E-29FD-44DA-AF87-ADE48DD206CE}">
  <cacheSource type="worksheet">
    <worksheetSource name="Table2"/>
  </cacheSource>
  <cacheFields count="2">
    <cacheField name="Semana" numFmtId="0">
      <sharedItems containsSemiMixedTypes="0" containsString="0" containsNumber="1" containsInteger="1" minValue="1" maxValue="6" count="6">
        <n v="1"/>
        <n v="2"/>
        <n v="3"/>
        <n v="4"/>
        <n v="5"/>
        <n v="6"/>
      </sharedItems>
    </cacheField>
    <cacheField name="Abdominales" numFmtId="0">
      <sharedItems containsSemiMixedTypes="0" containsString="0" containsNumber="1" containsInteger="1" minValue="355" maxValue="169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1.591835416664" createdVersion="8" refreshedVersion="8" minRefreshableVersion="3" recordCount="3" xr:uid="{800E10C9-5FEB-4A5B-9454-057D6442E990}">
  <cacheSource type="worksheet">
    <worksheetSource name="Table3"/>
  </cacheSource>
  <cacheFields count="4">
    <cacheField name="Column1" numFmtId="0">
      <sharedItems count="3">
        <s v="Acidez leve"/>
        <s v="Acidez intensa"/>
        <s v="Sin acidez"/>
      </sharedItems>
    </cacheField>
    <cacheField name="Analgésico" numFmtId="0">
      <sharedItems containsSemiMixedTypes="0" containsString="0" containsNumber="1" containsInteger="1" minValue="9" maxValue="10573" count="3">
        <n v="9"/>
        <n v="107"/>
        <n v="10573"/>
      </sharedItems>
    </cacheField>
    <cacheField name="Placebo" numFmtId="0">
      <sharedItems containsSemiMixedTypes="0" containsString="0" containsNumber="1" containsInteger="1" minValue="31" maxValue="10473" count="3">
        <n v="176"/>
        <n v="31"/>
        <n v="10473"/>
      </sharedItems>
    </cacheField>
    <cacheField name="Total" numFmtId="0">
      <sharedItems containsSemiMixedTypes="0" containsString="0" containsNumber="1" containsInteger="1" minValue="138" maxValue="21046" count="3">
        <n v="185"/>
        <n v="138"/>
        <n v="21046"/>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2.533182870371" createdVersion="8" refreshedVersion="8" minRefreshableVersion="3" recordCount="4" xr:uid="{B55FEB88-F61F-48F3-AD75-0BFC674EDE17}">
  <cacheSource type="worksheet">
    <worksheetSource ref="C8:F12" sheet="QUIZ"/>
  </cacheSource>
  <cacheFields count="4">
    <cacheField name="Año" numFmtId="0">
      <sharedItems count="4">
        <s v="1ero"/>
        <s v="2do"/>
        <s v="3ro"/>
        <s v="4to"/>
      </sharedItems>
    </cacheField>
    <cacheField name="Arte" numFmtId="0">
      <sharedItems containsSemiMixedTypes="0" containsString="0" containsNumber="1" containsInteger="1" minValue="30" maxValue="56"/>
    </cacheField>
    <cacheField name="Arquitectura" numFmtId="0">
      <sharedItems containsSemiMixedTypes="0" containsString="0" containsNumber="1" containsInteger="1" minValue="12" maxValue="60" count="4">
        <n v="25"/>
        <n v="12"/>
        <n v="45"/>
        <n v="60"/>
      </sharedItems>
    </cacheField>
    <cacheField name="Música" numFmtId="0">
      <sharedItems containsSemiMixedTypes="0" containsString="0" containsNumber="1" containsInteger="1" minValue="20" maxValue="7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3.51081284722" createdVersion="8" refreshedVersion="8" minRefreshableVersion="3" recordCount="24" xr:uid="{79F8648F-BEBF-4C31-AC51-73112788FF45}">
  <cacheSource type="worksheet">
    <worksheetSource ref="M2:N26" sheet="Ex_16"/>
  </cacheSource>
  <cacheFields count="2">
    <cacheField name="Día" numFmtId="0">
      <sharedItems containsSemiMixedTypes="0" containsString="0" containsNumber="1" containsInteger="1" minValue="1" maxValue="24" count="24">
        <n v="1"/>
        <n v="2"/>
        <n v="3"/>
        <n v="4"/>
        <n v="5"/>
        <n v="6"/>
        <n v="7"/>
        <n v="8"/>
        <n v="9"/>
        <n v="10"/>
        <n v="11"/>
        <n v="12"/>
        <n v="13"/>
        <n v="14"/>
        <n v="15"/>
        <n v="16"/>
        <n v="17"/>
        <n v="18"/>
        <n v="19"/>
        <n v="20"/>
        <n v="21"/>
        <n v="22"/>
        <n v="23"/>
        <n v="24"/>
      </sharedItems>
    </cacheField>
    <cacheField name="Mensajes Texto" numFmtId="0">
      <sharedItems containsSemiMixedTypes="0" containsString="0" containsNumber="1" containsInteger="1" minValue="0" maxValue="31" count="10">
        <n v="0"/>
        <n v="18"/>
        <n v="19"/>
        <n v="20"/>
        <n v="21"/>
        <n v="23"/>
        <n v="24"/>
        <n v="25"/>
        <n v="30"/>
        <n v="3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José Angel Covo" refreshedDate="45063.843804861113" createdVersion="8" refreshedVersion="8" minRefreshableVersion="3" recordCount="18" xr:uid="{1415611E-2AD6-400C-AC37-62A7D19904F3}">
  <cacheSource type="worksheet">
    <worksheetSource ref="K1:K19" sheet="Ex_15"/>
  </cacheSource>
  <cacheFields count="1">
    <cacheField name="Datos" numFmtId="0">
      <sharedItems containsSemiMixedTypes="0" containsString="0" containsNumber="1" containsInteger="1" minValue="10" maxValue="60" count="16">
        <n v="10"/>
        <n v="11"/>
        <n v="12"/>
        <n v="18"/>
        <n v="28"/>
        <n v="29"/>
        <n v="32"/>
        <n v="36"/>
        <n v="38"/>
        <n v="39"/>
        <n v="43"/>
        <n v="44"/>
        <n v="45"/>
        <n v="52"/>
        <n v="56"/>
        <n v="60"/>
      </sharedItems>
      <fieldGroup base="0">
        <rangePr startNum="10" endNum="60" groupInterval="10"/>
        <groupItems count="7">
          <s v="&lt;10"/>
          <s v="10-19"/>
          <s v="20-29"/>
          <s v="30-39"/>
          <s v="40-49"/>
          <s v="50-60"/>
          <s v="&gt;6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r>
  <r>
    <x v="1"/>
  </r>
  <r>
    <x v="2"/>
  </r>
  <r>
    <x v="2"/>
  </r>
  <r>
    <x v="3"/>
  </r>
  <r>
    <x v="4"/>
  </r>
  <r>
    <x v="5"/>
  </r>
  <r>
    <x v="6"/>
  </r>
  <r>
    <x v="5"/>
  </r>
  <r>
    <x v="7"/>
  </r>
  <r>
    <x v="8"/>
  </r>
  <r>
    <x v="9"/>
  </r>
  <r>
    <x v="8"/>
  </r>
  <r>
    <x v="8"/>
  </r>
  <r>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55"/>
  </r>
  <r>
    <x v="1"/>
    <n v="460"/>
  </r>
  <r>
    <x v="2"/>
    <n v="605"/>
  </r>
  <r>
    <x v="3"/>
    <n v="545"/>
  </r>
  <r>
    <x v="4"/>
    <n v="1280"/>
  </r>
  <r>
    <x v="5"/>
    <n v="16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r>
  <r>
    <x v="1"/>
    <x v="1"/>
    <x v="1"/>
    <x v="1"/>
  </r>
  <r>
    <x v="2"/>
    <x v="2"/>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0"/>
    <x v="0"/>
    <n v="55"/>
  </r>
  <r>
    <x v="1"/>
    <n v="52"/>
    <x v="1"/>
    <n v="71"/>
  </r>
  <r>
    <x v="2"/>
    <n v="56"/>
    <x v="2"/>
    <n v="54"/>
  </r>
  <r>
    <x v="3"/>
    <n v="30"/>
    <x v="3"/>
    <n v="2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r>
  <r>
    <x v="1"/>
    <x v="1"/>
  </r>
  <r>
    <x v="2"/>
    <x v="2"/>
  </r>
  <r>
    <x v="3"/>
    <x v="3"/>
  </r>
  <r>
    <x v="4"/>
    <x v="3"/>
  </r>
  <r>
    <x v="5"/>
    <x v="3"/>
  </r>
  <r>
    <x v="6"/>
    <x v="4"/>
  </r>
  <r>
    <x v="7"/>
    <x v="5"/>
  </r>
  <r>
    <x v="8"/>
    <x v="5"/>
  </r>
  <r>
    <x v="9"/>
    <x v="5"/>
  </r>
  <r>
    <x v="10"/>
    <x v="6"/>
  </r>
  <r>
    <x v="11"/>
    <x v="6"/>
  </r>
  <r>
    <x v="12"/>
    <x v="6"/>
  </r>
  <r>
    <x v="13"/>
    <x v="6"/>
  </r>
  <r>
    <x v="14"/>
    <x v="6"/>
  </r>
  <r>
    <x v="15"/>
    <x v="7"/>
  </r>
  <r>
    <x v="16"/>
    <x v="7"/>
  </r>
  <r>
    <x v="17"/>
    <x v="7"/>
  </r>
  <r>
    <x v="18"/>
    <x v="7"/>
  </r>
  <r>
    <x v="19"/>
    <x v="7"/>
  </r>
  <r>
    <x v="20"/>
    <x v="7"/>
  </r>
  <r>
    <x v="21"/>
    <x v="8"/>
  </r>
  <r>
    <x v="22"/>
    <x v="8"/>
  </r>
  <r>
    <x v="23"/>
    <x v="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r>
  <r>
    <x v="1"/>
  </r>
  <r>
    <x v="2"/>
  </r>
  <r>
    <x v="3"/>
  </r>
  <r>
    <x v="4"/>
  </r>
  <r>
    <x v="4"/>
  </r>
  <r>
    <x v="5"/>
  </r>
  <r>
    <x v="6"/>
  </r>
  <r>
    <x v="7"/>
  </r>
  <r>
    <x v="8"/>
  </r>
  <r>
    <x v="9"/>
  </r>
  <r>
    <x v="10"/>
  </r>
  <r>
    <x v="11"/>
  </r>
  <r>
    <x v="11"/>
  </r>
  <r>
    <x v="12"/>
  </r>
  <r>
    <x v="13"/>
  </r>
  <r>
    <x v="14"/>
  </r>
  <r>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FF1DF-7B2E-459D-AB3D-28DB17973F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lores">
  <location ref="C3:E8" firstHeaderRow="0" firstDataRow="1" firstDataCol="1"/>
  <pivotFields count="1">
    <pivotField axis="axisRow" dataField="1" showAll="0">
      <items count="7">
        <item x="0"/>
        <item x="1"/>
        <item x="2"/>
        <item x="3"/>
        <item x="4"/>
        <item x="5"/>
        <item t="default"/>
      </items>
    </pivotField>
  </pivotFields>
  <rowFields count="1">
    <field x="0"/>
  </rowFields>
  <rowItems count="5">
    <i>
      <x v="1"/>
    </i>
    <i>
      <x v="2"/>
    </i>
    <i>
      <x v="3"/>
    </i>
    <i>
      <x v="4"/>
    </i>
    <i t="grand">
      <x/>
    </i>
  </rowItems>
  <colFields count="1">
    <field x="-2"/>
  </colFields>
  <colItems count="2">
    <i>
      <x/>
    </i>
    <i i="1">
      <x v="1"/>
    </i>
  </colItems>
  <dataFields count="2">
    <dataField name="Frecuencia" fld="0" subtotal="count" baseField="0" baseItem="0"/>
    <dataField name="Frecuencia Relativa" fld="0" subtotal="count" showDataAs="percentOfTotal" baseField="0" baseItem="0" numFmtId="9"/>
  </dataFields>
  <formats count="2">
    <format dxfId="22">
      <pivotArea collapsedLevelsAreSubtotals="1" fieldPosition="0">
        <references count="2">
          <reference field="4294967294" count="1" selected="0">
            <x v="1"/>
          </reference>
          <reference field="0" count="1">
            <x v="1"/>
          </reference>
        </references>
      </pivotArea>
    </format>
    <format dxfId="2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95E8F-D543-490B-82DC-83F8D029B1C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emana">
  <location ref="B17:D24" firstHeaderRow="0" firstDataRow="1" firstDataCol="1"/>
  <pivotFields count="2">
    <pivotField axis="axisRow" showAll="0">
      <items count="7">
        <item x="0"/>
        <item x="1"/>
        <item x="2"/>
        <item x="3"/>
        <item x="4"/>
        <item x="5"/>
        <item t="default"/>
      </items>
    </pivotField>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Abdominales por semana" fld="1" baseField="0" baseItem="0"/>
    <dataField name="Acumuladas" fld="1" showDataAs="runTotal"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ED80B8-CA85-4BEB-8E3C-F176ABD04A3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8:J12" firstHeaderRow="1" firstDataRow="1" firstDataCol="1"/>
  <pivotFields count="4">
    <pivotField axis="axisRow" showAll="0" sortType="ascending">
      <items count="4">
        <item x="1"/>
        <item x="0"/>
        <item x="2"/>
        <item t="default"/>
      </items>
    </pivotField>
    <pivotField dataField="1" showAll="0">
      <items count="4">
        <item x="0"/>
        <item x="1"/>
        <item x="2"/>
        <item t="default"/>
      </items>
    </pivotField>
    <pivotField showAll="0">
      <items count="4">
        <item x="1"/>
        <item x="0"/>
        <item x="2"/>
        <item t="default"/>
      </items>
    </pivotField>
    <pivotField showAll="0"/>
  </pivotFields>
  <rowFields count="1">
    <field x="0"/>
  </rowFields>
  <rowItems count="4">
    <i>
      <x/>
    </i>
    <i>
      <x v="1"/>
    </i>
    <i>
      <x v="2"/>
    </i>
    <i t="grand">
      <x/>
    </i>
  </rowItems>
  <colItems count="1">
    <i/>
  </colItems>
  <dataFields count="1">
    <dataField name="Sum of Analgésico" fld="1" showDataAs="percentOfTota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ADB62-B0A2-44B8-9BAB-A951EE216315}"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0:J24" firstHeaderRow="1" firstDataRow="1" firstDataCol="1"/>
  <pivotFields count="4">
    <pivotField axis="axisRow" showAll="0">
      <items count="4">
        <item x="1"/>
        <item x="0"/>
        <item x="2"/>
        <item t="default"/>
      </items>
    </pivotField>
    <pivotField showAll="0"/>
    <pivotField showAll="0"/>
    <pivotField dataField="1" showAll="0"/>
  </pivotFields>
  <rowFields count="1">
    <field x="0"/>
  </rowFields>
  <rowItems count="4">
    <i>
      <x/>
    </i>
    <i>
      <x v="1"/>
    </i>
    <i>
      <x v="2"/>
    </i>
    <i t="grand">
      <x/>
    </i>
  </rowItems>
  <colItems count="1">
    <i/>
  </colItems>
  <dataFields count="1">
    <dataField name="Analgésico y placebo" fld="3"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8B472-E918-4AEF-BE2C-3257142FAD4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4:J18" firstHeaderRow="1" firstDataRow="1" firstDataCol="1"/>
  <pivotFields count="4">
    <pivotField axis="axisRow" showAll="0" sortType="ascending">
      <items count="4">
        <item x="1"/>
        <item x="0"/>
        <item x="2"/>
        <item t="default"/>
      </items>
    </pivotField>
    <pivotField showAll="0"/>
    <pivotField dataField="1" showAll="0"/>
    <pivotField showAll="0"/>
  </pivotFields>
  <rowFields count="1">
    <field x="0"/>
  </rowFields>
  <rowItems count="4">
    <i>
      <x/>
    </i>
    <i>
      <x v="1"/>
    </i>
    <i>
      <x v="2"/>
    </i>
    <i t="grand">
      <x/>
    </i>
  </rowItems>
  <colItems count="1">
    <i/>
  </colItems>
  <dataFields count="1">
    <dataField name="Sum of Placebo"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AB84D1-AB01-409C-88D8-044E19E2644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1" firstHeaderRow="1" firstDataRow="1" firstDataCol="1"/>
  <pivotFields count="4">
    <pivotField axis="axisRow" showAll="0">
      <items count="5">
        <item x="0"/>
        <item x="1"/>
        <item x="2"/>
        <item x="3"/>
        <item t="default"/>
      </items>
    </pivotField>
    <pivotField showAll="0"/>
    <pivotField dataField="1" showAll="0">
      <items count="5">
        <item x="1"/>
        <item x="0"/>
        <item x="2"/>
        <item x="3"/>
        <item t="default"/>
      </items>
    </pivotField>
    <pivotField showAll="0"/>
  </pivotFields>
  <rowFields count="1">
    <field x="0"/>
  </rowFields>
  <rowItems count="5">
    <i>
      <x/>
    </i>
    <i>
      <x v="1"/>
    </i>
    <i>
      <x v="2"/>
    </i>
    <i>
      <x v="3"/>
    </i>
    <i t="grand">
      <x/>
    </i>
  </rowItems>
  <colItems count="1">
    <i/>
  </colItems>
  <dataFields count="1">
    <dataField name="Sum of Arquitectura" fld="2" showDataAs="percentOfTotal" baseField="0" baseItem="3" numFmtId="10"/>
  </dataFields>
  <formats count="1">
    <format dxfId="15">
      <pivotArea collapsedLevelsAreSubtotals="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52370C-E63C-44E3-891D-E75AABE6762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2:L28" firstHeaderRow="1" firstDataRow="1" firstDataCol="1"/>
  <pivotFields count="1">
    <pivotField axis="axisRow" dataField="1" showAll="0">
      <items count="8">
        <item x="0"/>
        <item x="1"/>
        <item x="2"/>
        <item x="3"/>
        <item x="4"/>
        <item x="5"/>
        <item x="6"/>
        <item t="default"/>
      </items>
      <extLst>
        <ext xmlns:x14="http://schemas.microsoft.com/office/spreadsheetml/2009/9/main" uri="{2946ED86-A175-432a-8AC1-64E0C546D7DE}">
          <x14:pivotField fillDownLabels="1"/>
        </ext>
      </extLst>
    </pivotField>
  </pivotFields>
  <rowFields count="1">
    <field x="0"/>
  </rowFields>
  <rowItems count="6">
    <i>
      <x v="1"/>
    </i>
    <i>
      <x v="2"/>
    </i>
    <i>
      <x v="3"/>
    </i>
    <i>
      <x v="4"/>
    </i>
    <i>
      <x v="5"/>
    </i>
    <i t="grand">
      <x/>
    </i>
  </rowItems>
  <colItems count="1">
    <i/>
  </colItems>
  <dataFields count="1">
    <dataField name="Count of Datos" fld="0" subtotal="count" baseField="0" baseItem="2"/>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281D24-5858-424F-9394-A2C70A59AB0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ensajes de texto">
  <location ref="G11:H22" firstHeaderRow="1" firstDataRow="1" firstDataCol="1"/>
  <pivotFields count="2">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dataField="1" showAll="0">
      <items count="11">
        <item x="0"/>
        <item x="1"/>
        <item x="2"/>
        <item x="3"/>
        <item x="4"/>
        <item x="5"/>
        <item x="6"/>
        <item x="7"/>
        <item x="8"/>
        <item x="9"/>
        <item t="default"/>
      </items>
    </pivotField>
  </pivotFields>
  <rowFields count="1">
    <field x="1"/>
  </rowFields>
  <rowItems count="11">
    <i>
      <x/>
    </i>
    <i>
      <x v="1"/>
    </i>
    <i>
      <x v="2"/>
    </i>
    <i>
      <x v="3"/>
    </i>
    <i>
      <x v="4"/>
    </i>
    <i>
      <x v="5"/>
    </i>
    <i>
      <x v="6"/>
    </i>
    <i>
      <x v="7"/>
    </i>
    <i>
      <x v="8"/>
    </i>
    <i>
      <x v="9"/>
    </i>
    <i t="grand">
      <x/>
    </i>
  </rowItems>
  <colItems count="1">
    <i/>
  </colItems>
  <dataFields count="1">
    <dataField name="Count" fld="1" subtotal="count" baseField="1" baseItem="0"/>
  </dataFields>
  <formats count="5">
    <format dxfId="4">
      <pivotArea field="1" type="button" dataOnly="0" labelOnly="1" outline="0" axis="axisRow" fieldPosition="0"/>
    </format>
    <format dxfId="3">
      <pivotArea field="1" type="button" dataOnly="0" labelOnly="1" outline="0" axis="axisRow" fieldPosition="0"/>
    </format>
    <format dxfId="2">
      <pivotArea dataOnly="0" outline="0" axis="axisValues" fieldPosition="0"/>
    </format>
    <format dxfId="1">
      <pivotArea dataOnly="0" outline="0" axis="axisValues" fieldPosition="0"/>
    </format>
    <format dxfId="0">
      <pivotArea field="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A3D23-94A3-4D53-810A-178F7C84E259}" name="Table1" displayName="Table1" ref="B3:B18" totalsRowShown="0">
  <autoFilter ref="B3:B18" xr:uid="{9D0A3D23-94A3-4D53-810A-178F7C84E259}"/>
  <tableColumns count="1">
    <tableColumn id="1" xr3:uid="{A1CB3158-69AC-4F23-B814-DFB5BC4F9CF2}" name="Número de colo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C8519-B130-4119-AD84-2A7DF4685F7B}" name="Table2" displayName="Table2" ref="B8:C14" totalsRowShown="0">
  <autoFilter ref="B8:C14" xr:uid="{FE1C8519-B130-4119-AD84-2A7DF4685F7B}"/>
  <tableColumns count="2">
    <tableColumn id="1" xr3:uid="{A591BB4B-3C6E-44B3-9452-1EC4D7BE0114}" name="Semana"/>
    <tableColumn id="2" xr3:uid="{C86341B6-3D0B-4C27-BB58-32AE39B5B604}" name="Abdomin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A9F26D-17C3-45A1-A6E4-F4174CE9F1B7}" name="Table3" displayName="Table3" ref="B8:E12" totalsRowCount="1">
  <autoFilter ref="B8:E11" xr:uid="{10A9F26D-17C3-45A1-A6E4-F4174CE9F1B7}"/>
  <tableColumns count="4">
    <tableColumn id="1" xr3:uid="{79DCB11E-64C5-4EFC-B55C-C8B48A84BF56}" name="Column1" totalsRowLabel="Total"/>
    <tableColumn id="2" xr3:uid="{B032D261-3C16-4A42-B79C-3C9386AC5F91}" name="Analgésico" totalsRowFunction="sum"/>
    <tableColumn id="3" xr3:uid="{92221390-7394-45C1-B9A9-0DF1E246CF75}" name="Placebo" totalsRowFunction="sum"/>
    <tableColumn id="4" xr3:uid="{97F4C6FE-47E0-4688-927A-7D93FD269614}" name="Total" totalsRowFunction="sum" dataDxfId="20">
      <calculatedColumnFormula>SUM(Table3[[#This Row],[Analgésico]:[Placebo]])</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BA15FC-609F-432E-B5AB-37A1312AF708}" name="Table5" displayName="Table5" ref="I9:J16" totalsRowShown="0" headerRowDxfId="19" dataDxfId="18">
  <autoFilter ref="I9:J16" xr:uid="{93BA15FC-609F-432E-B5AB-37A1312AF708}"/>
  <sortState xmlns:xlrd2="http://schemas.microsoft.com/office/spreadsheetml/2017/richdata2" ref="I10:J16">
    <sortCondition ref="I9:I16"/>
  </sortState>
  <tableColumns count="2">
    <tableColumn id="1" xr3:uid="{7179677C-CAC9-4F5A-9195-1F622B15DA4F}" name="Número de perros" dataDxfId="17"/>
    <tableColumn id="2" xr3:uid="{A6B101FC-EB42-4A4A-B2C1-57C53DD476CB}" name="Frecuencia" dataDxfId="1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EAD9C3-1548-4935-B89D-9CCBBEE7D4A1}" name="Table6" displayName="Table6" ref="C8:G13" totalsRowShown="0" headerRowDxfId="14" dataDxfId="12" headerRowBorderDxfId="13" tableBorderDxfId="11" totalsRowBorderDxfId="10">
  <autoFilter ref="C8:G13" xr:uid="{11EAD9C3-1548-4935-B89D-9CCBBEE7D4A1}"/>
  <tableColumns count="5">
    <tableColumn id="1" xr3:uid="{593C6108-36D7-4A8F-ABD5-364CBBE3C59E}" name="Año" dataDxfId="9"/>
    <tableColumn id="2" xr3:uid="{20DCED0E-6702-43BB-B2EE-6C777C54D1B9}" name="Arte" dataDxfId="8"/>
    <tableColumn id="3" xr3:uid="{BDF28966-8E08-411B-B98D-10F780921ECD}" name="Arquitectura" dataDxfId="7"/>
    <tableColumn id="4" xr3:uid="{D77D5A06-5BF9-413B-A28A-9E7705565567}" name="Música" dataDxfId="6"/>
    <tableColumn id="5" xr3:uid="{01E686C1-91CC-4157-87AD-28AE2FC69613}" name="Total"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387ED57-F658-42E2-8165-520263267DAE}">
  <we:reference id="wa104381504" version="1.0.0.0" store="en-US" storeType="OMEX"/>
  <we:alternateReferences>
    <we:reference id="wa104381504" version="1.0.0.0" store="WA1043815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2C07-C38F-4728-8985-55A7D15A06AE}">
  <dimension ref="B3:J18"/>
  <sheetViews>
    <sheetView zoomScale="85" zoomScaleNormal="85" workbookViewId="0">
      <selection activeCell="J8" sqref="J8"/>
    </sheetView>
  </sheetViews>
  <sheetFormatPr defaultRowHeight="14.4" x14ac:dyDescent="0.3"/>
  <cols>
    <col min="2" max="2" width="18.77734375" customWidth="1"/>
    <col min="3" max="3" width="12.5546875" bestFit="1" customWidth="1"/>
    <col min="4" max="4" width="25" bestFit="1" customWidth="1"/>
    <col min="5" max="5" width="26.109375" bestFit="1" customWidth="1"/>
    <col min="8" max="8" width="10.5546875" bestFit="1" customWidth="1"/>
    <col min="9" max="9" width="9.77734375" bestFit="1" customWidth="1"/>
    <col min="10" max="10" width="16.88671875" bestFit="1" customWidth="1"/>
  </cols>
  <sheetData>
    <row r="3" spans="2:10" x14ac:dyDescent="0.3">
      <c r="B3" t="s">
        <v>1</v>
      </c>
      <c r="C3" s="1" t="s">
        <v>0</v>
      </c>
      <c r="D3" t="s">
        <v>7</v>
      </c>
      <c r="E3" t="s">
        <v>8</v>
      </c>
    </row>
    <row r="4" spans="2:10" x14ac:dyDescent="0.3">
      <c r="B4">
        <v>5</v>
      </c>
      <c r="C4" s="2" t="s">
        <v>3</v>
      </c>
      <c r="D4">
        <v>2</v>
      </c>
      <c r="E4" s="3">
        <v>0.13333333333333333</v>
      </c>
      <c r="J4" s="4"/>
    </row>
    <row r="5" spans="2:10" x14ac:dyDescent="0.3">
      <c r="B5">
        <v>2</v>
      </c>
      <c r="C5" s="2" t="s">
        <v>4</v>
      </c>
      <c r="D5">
        <v>3</v>
      </c>
      <c r="E5" s="3">
        <v>0.2</v>
      </c>
      <c r="J5" s="4"/>
    </row>
    <row r="6" spans="2:10" x14ac:dyDescent="0.3">
      <c r="B6">
        <v>6</v>
      </c>
      <c r="C6" s="2" t="s">
        <v>5</v>
      </c>
      <c r="D6">
        <v>3</v>
      </c>
      <c r="E6" s="3">
        <v>0.2</v>
      </c>
      <c r="J6" s="4"/>
    </row>
    <row r="7" spans="2:10" x14ac:dyDescent="0.3">
      <c r="B7">
        <v>6</v>
      </c>
      <c r="C7" s="2" t="s">
        <v>6</v>
      </c>
      <c r="D7">
        <v>7</v>
      </c>
      <c r="E7" s="3">
        <v>0.46666666666666667</v>
      </c>
      <c r="J7" s="4"/>
    </row>
    <row r="8" spans="2:10" x14ac:dyDescent="0.3">
      <c r="B8">
        <v>10</v>
      </c>
      <c r="C8" s="2" t="s">
        <v>2</v>
      </c>
      <c r="D8">
        <v>15</v>
      </c>
      <c r="E8" s="3">
        <v>1</v>
      </c>
      <c r="J8" s="4"/>
    </row>
    <row r="9" spans="2:10" x14ac:dyDescent="0.3">
      <c r="B9">
        <v>12</v>
      </c>
    </row>
    <row r="10" spans="2:10" x14ac:dyDescent="0.3">
      <c r="B10">
        <v>16</v>
      </c>
    </row>
    <row r="11" spans="2:10" x14ac:dyDescent="0.3">
      <c r="B11">
        <v>14</v>
      </c>
    </row>
    <row r="12" spans="2:10" x14ac:dyDescent="0.3">
      <c r="B12">
        <v>16</v>
      </c>
    </row>
    <row r="13" spans="2:10" x14ac:dyDescent="0.3">
      <c r="B13">
        <v>15</v>
      </c>
    </row>
    <row r="14" spans="2:10" x14ac:dyDescent="0.3">
      <c r="B14">
        <v>17</v>
      </c>
    </row>
    <row r="15" spans="2:10" x14ac:dyDescent="0.3">
      <c r="B15">
        <v>18</v>
      </c>
    </row>
    <row r="16" spans="2:10" x14ac:dyDescent="0.3">
      <c r="B16">
        <v>17</v>
      </c>
    </row>
    <row r="17" spans="2:2" x14ac:dyDescent="0.3">
      <c r="B17">
        <v>17</v>
      </c>
    </row>
    <row r="18" spans="2:2" x14ac:dyDescent="0.3">
      <c r="B18">
        <v>18</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F72E-46A2-4AF6-8318-BCCDB64D868C}">
  <dimension ref="B8:D24"/>
  <sheetViews>
    <sheetView zoomScaleNormal="100" workbookViewId="0">
      <selection activeCell="D19" sqref="D19"/>
    </sheetView>
  </sheetViews>
  <sheetFormatPr defaultRowHeight="14.4" x14ac:dyDescent="0.3"/>
  <cols>
    <col min="2" max="2" width="12.5546875" bestFit="1" customWidth="1"/>
    <col min="3" max="3" width="23" bestFit="1" customWidth="1"/>
    <col min="4" max="4" width="18.77734375" bestFit="1" customWidth="1"/>
  </cols>
  <sheetData>
    <row r="8" spans="2:3" x14ac:dyDescent="0.3">
      <c r="B8" t="s">
        <v>9</v>
      </c>
      <c r="C8" t="s">
        <v>10</v>
      </c>
    </row>
    <row r="9" spans="2:3" x14ac:dyDescent="0.3">
      <c r="B9">
        <v>1</v>
      </c>
      <c r="C9">
        <v>355</v>
      </c>
    </row>
    <row r="10" spans="2:3" x14ac:dyDescent="0.3">
      <c r="B10">
        <v>2</v>
      </c>
      <c r="C10">
        <v>460</v>
      </c>
    </row>
    <row r="11" spans="2:3" x14ac:dyDescent="0.3">
      <c r="B11">
        <v>3</v>
      </c>
      <c r="C11">
        <v>605</v>
      </c>
    </row>
    <row r="12" spans="2:3" x14ac:dyDescent="0.3">
      <c r="B12">
        <v>4</v>
      </c>
      <c r="C12">
        <v>545</v>
      </c>
    </row>
    <row r="13" spans="2:3" x14ac:dyDescent="0.3">
      <c r="B13">
        <v>5</v>
      </c>
      <c r="C13">
        <v>1280</v>
      </c>
    </row>
    <row r="14" spans="2:3" x14ac:dyDescent="0.3">
      <c r="B14">
        <v>6</v>
      </c>
      <c r="C14">
        <v>1690</v>
      </c>
    </row>
    <row r="17" spans="2:4" x14ac:dyDescent="0.3">
      <c r="B17" s="1" t="s">
        <v>9</v>
      </c>
      <c r="C17" t="s">
        <v>14</v>
      </c>
      <c r="D17" t="s">
        <v>13</v>
      </c>
    </row>
    <row r="18" spans="2:4" x14ac:dyDescent="0.3">
      <c r="B18" s="2">
        <v>1</v>
      </c>
      <c r="C18">
        <v>355</v>
      </c>
      <c r="D18">
        <v>355</v>
      </c>
    </row>
    <row r="19" spans="2:4" x14ac:dyDescent="0.3">
      <c r="B19" s="2">
        <v>2</v>
      </c>
      <c r="C19">
        <v>460</v>
      </c>
      <c r="D19">
        <v>815</v>
      </c>
    </row>
    <row r="20" spans="2:4" x14ac:dyDescent="0.3">
      <c r="B20" s="2">
        <v>3</v>
      </c>
      <c r="C20">
        <v>605</v>
      </c>
      <c r="D20">
        <v>1420</v>
      </c>
    </row>
    <row r="21" spans="2:4" x14ac:dyDescent="0.3">
      <c r="B21" s="2">
        <v>4</v>
      </c>
      <c r="C21">
        <v>545</v>
      </c>
      <c r="D21">
        <v>1965</v>
      </c>
    </row>
    <row r="22" spans="2:4" x14ac:dyDescent="0.3">
      <c r="B22" s="2">
        <v>5</v>
      </c>
      <c r="C22">
        <v>1280</v>
      </c>
      <c r="D22">
        <v>3245</v>
      </c>
    </row>
    <row r="23" spans="2:4" x14ac:dyDescent="0.3">
      <c r="B23" s="2">
        <v>6</v>
      </c>
      <c r="C23">
        <v>1690</v>
      </c>
      <c r="D23">
        <v>4935</v>
      </c>
    </row>
    <row r="24" spans="2:4" x14ac:dyDescent="0.3">
      <c r="B24" s="2" t="s">
        <v>2</v>
      </c>
      <c r="C24">
        <v>4935</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5F5D-CEB9-4F80-BED4-56EECC62A76D}">
  <dimension ref="B7:J24"/>
  <sheetViews>
    <sheetView zoomScale="110" zoomScaleNormal="110" workbookViewId="0">
      <selection activeCell="B8" sqref="B8"/>
    </sheetView>
  </sheetViews>
  <sheetFormatPr defaultRowHeight="14.4" x14ac:dyDescent="0.3"/>
  <cols>
    <col min="2" max="2" width="12.5546875" bestFit="1" customWidth="1"/>
    <col min="3" max="3" width="16.5546875" bestFit="1" customWidth="1"/>
    <col min="4" max="4" width="14.21875" bestFit="1" customWidth="1"/>
    <col min="5" max="5" width="11.6640625" bestFit="1" customWidth="1"/>
    <col min="6" max="6" width="14.21875" bestFit="1" customWidth="1"/>
    <col min="7" max="7" width="4" bestFit="1" customWidth="1"/>
    <col min="8" max="8" width="6" bestFit="1" customWidth="1"/>
    <col min="9" max="9" width="12.5546875" bestFit="1" customWidth="1"/>
    <col min="10" max="10" width="18.77734375" bestFit="1" customWidth="1"/>
    <col min="11" max="11" width="11.6640625" bestFit="1" customWidth="1"/>
    <col min="12" max="12" width="16.5546875" bestFit="1" customWidth="1"/>
    <col min="13" max="13" width="10.77734375" bestFit="1" customWidth="1"/>
  </cols>
  <sheetData>
    <row r="7" spans="2:10" x14ac:dyDescent="0.3">
      <c r="B7" t="s">
        <v>18</v>
      </c>
    </row>
    <row r="8" spans="2:10" x14ac:dyDescent="0.3">
      <c r="B8" s="5" t="s">
        <v>11</v>
      </c>
      <c r="C8" t="s">
        <v>19</v>
      </c>
      <c r="D8" t="s">
        <v>20</v>
      </c>
      <c r="E8" t="s">
        <v>21</v>
      </c>
      <c r="I8" s="1" t="s">
        <v>12</v>
      </c>
      <c r="J8" t="s">
        <v>22</v>
      </c>
    </row>
    <row r="9" spans="2:10" x14ac:dyDescent="0.3">
      <c r="B9" t="s">
        <v>15</v>
      </c>
      <c r="C9">
        <v>9</v>
      </c>
      <c r="D9">
        <v>176</v>
      </c>
      <c r="E9">
        <f>SUM(Table3[[#This Row],[Analgésico]:[Placebo]])</f>
        <v>185</v>
      </c>
      <c r="I9" s="2" t="s">
        <v>16</v>
      </c>
      <c r="J9" s="6">
        <v>1.0010290953316493E-2</v>
      </c>
    </row>
    <row r="10" spans="2:10" x14ac:dyDescent="0.3">
      <c r="B10" t="s">
        <v>16</v>
      </c>
      <c r="C10">
        <v>107</v>
      </c>
      <c r="D10">
        <v>31</v>
      </c>
      <c r="E10">
        <f>SUM(Table3[[#This Row],[Analgésico]:[Placebo]])</f>
        <v>138</v>
      </c>
      <c r="I10" s="2" t="s">
        <v>15</v>
      </c>
      <c r="J10" s="6">
        <v>8.4198708953129382E-4</v>
      </c>
    </row>
    <row r="11" spans="2:10" x14ac:dyDescent="0.3">
      <c r="B11" t="s">
        <v>17</v>
      </c>
      <c r="C11">
        <v>10573</v>
      </c>
      <c r="D11">
        <v>10473</v>
      </c>
      <c r="E11">
        <f>SUM(Table3[[#This Row],[Analgésico]:[Placebo]])</f>
        <v>21046</v>
      </c>
      <c r="I11" s="2" t="s">
        <v>17</v>
      </c>
      <c r="J11" s="6">
        <v>0.98914772195715217</v>
      </c>
    </row>
    <row r="12" spans="2:10" x14ac:dyDescent="0.3">
      <c r="B12" t="s">
        <v>21</v>
      </c>
      <c r="C12">
        <f>SUBTOTAL(109,Table3[Analgésico])</f>
        <v>10689</v>
      </c>
      <c r="D12">
        <f>SUBTOTAL(109,Table3[Placebo])</f>
        <v>10680</v>
      </c>
      <c r="E12">
        <f>SUBTOTAL(109,Table3[Total])</f>
        <v>21369</v>
      </c>
      <c r="I12" s="2" t="s">
        <v>2</v>
      </c>
      <c r="J12" s="6">
        <v>1</v>
      </c>
    </row>
    <row r="14" spans="2:10" x14ac:dyDescent="0.3">
      <c r="I14" s="1" t="s">
        <v>12</v>
      </c>
      <c r="J14" t="s">
        <v>23</v>
      </c>
    </row>
    <row r="15" spans="2:10" x14ac:dyDescent="0.3">
      <c r="I15" s="2" t="s">
        <v>16</v>
      </c>
      <c r="J15" s="6">
        <v>2.9026217228464418E-3</v>
      </c>
    </row>
    <row r="16" spans="2:10" x14ac:dyDescent="0.3">
      <c r="I16" s="2" t="s">
        <v>15</v>
      </c>
      <c r="J16" s="6">
        <v>1.647940074906367E-2</v>
      </c>
    </row>
    <row r="17" spans="9:10" x14ac:dyDescent="0.3">
      <c r="I17" s="2" t="s">
        <v>17</v>
      </c>
      <c r="J17" s="6">
        <v>0.98061797752808988</v>
      </c>
    </row>
    <row r="18" spans="9:10" x14ac:dyDescent="0.3">
      <c r="I18" s="2" t="s">
        <v>2</v>
      </c>
      <c r="J18" s="6">
        <v>1</v>
      </c>
    </row>
    <row r="20" spans="9:10" x14ac:dyDescent="0.3">
      <c r="I20" s="1" t="s">
        <v>12</v>
      </c>
      <c r="J20" t="s">
        <v>24</v>
      </c>
    </row>
    <row r="21" spans="9:10" x14ac:dyDescent="0.3">
      <c r="I21" s="2" t="s">
        <v>16</v>
      </c>
      <c r="J21" s="6">
        <v>6.457953109644813E-3</v>
      </c>
    </row>
    <row r="22" spans="9:10" x14ac:dyDescent="0.3">
      <c r="I22" s="2" t="s">
        <v>15</v>
      </c>
      <c r="J22" s="6">
        <v>8.6574009078571757E-3</v>
      </c>
    </row>
    <row r="23" spans="9:10" x14ac:dyDescent="0.3">
      <c r="I23" s="2" t="s">
        <v>17</v>
      </c>
      <c r="J23" s="6">
        <v>0.98488464598249803</v>
      </c>
    </row>
    <row r="24" spans="9:10" x14ac:dyDescent="0.3">
      <c r="I24" s="2" t="s">
        <v>2</v>
      </c>
      <c r="J24" s="6">
        <v>1</v>
      </c>
    </row>
  </sheetData>
  <pageMargins left="0.7" right="0.7" top="0.75" bottom="0.75" header="0.3" footer="0.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0597-84E0-4788-8435-D9B91634F4D5}">
  <dimension ref="B2:N15"/>
  <sheetViews>
    <sheetView workbookViewId="0">
      <selection activeCell="F5" sqref="F5"/>
    </sheetView>
  </sheetViews>
  <sheetFormatPr defaultRowHeight="14.4" x14ac:dyDescent="0.3"/>
  <cols>
    <col min="2" max="2" width="9.5546875" bestFit="1" customWidth="1"/>
    <col min="5" max="5" width="9.5546875" bestFit="1" customWidth="1"/>
  </cols>
  <sheetData>
    <row r="2" spans="2:14" ht="15" thickBot="1" x14ac:dyDescent="0.35"/>
    <row r="3" spans="2:14" ht="15.6" thickBot="1" x14ac:dyDescent="0.35">
      <c r="B3" s="8"/>
      <c r="C3" s="9">
        <v>107</v>
      </c>
      <c r="D3" s="8"/>
      <c r="E3" s="16">
        <v>74</v>
      </c>
      <c r="F3" s="16">
        <v>75</v>
      </c>
      <c r="G3" s="16">
        <v>62</v>
      </c>
      <c r="H3" s="16">
        <v>77</v>
      </c>
      <c r="I3" s="16">
        <v>70</v>
      </c>
      <c r="J3" s="16">
        <v>71</v>
      </c>
      <c r="K3" s="16">
        <v>64</v>
      </c>
      <c r="L3" s="16">
        <v>69</v>
      </c>
      <c r="M3" s="16">
        <v>70</v>
      </c>
      <c r="N3" s="16">
        <v>73</v>
      </c>
    </row>
    <row r="4" spans="2:14" ht="15.6" x14ac:dyDescent="0.3">
      <c r="B4" s="8"/>
      <c r="C4" s="10">
        <v>252</v>
      </c>
      <c r="D4" s="8"/>
      <c r="E4" s="12" t="s">
        <v>27</v>
      </c>
      <c r="F4" s="13">
        <f>AVERAGE(E3:N3)</f>
        <v>70.5</v>
      </c>
    </row>
    <row r="5" spans="2:14" ht="15.6" x14ac:dyDescent="0.3">
      <c r="B5" s="8"/>
      <c r="C5" s="10">
        <v>360</v>
      </c>
      <c r="D5" s="8"/>
      <c r="E5" s="12" t="s">
        <v>25</v>
      </c>
      <c r="F5" s="14">
        <f>MEDIAN(E3:N3)</f>
        <v>70.5</v>
      </c>
    </row>
    <row r="6" spans="2:14" ht="16.2" thickBot="1" x14ac:dyDescent="0.35">
      <c r="B6" s="8"/>
      <c r="C6" s="11">
        <v>424</v>
      </c>
      <c r="D6" s="8"/>
      <c r="E6" s="12" t="s">
        <v>26</v>
      </c>
      <c r="F6" s="14">
        <f>_xlfn.MODE.SNGL(E3:N3)</f>
        <v>70</v>
      </c>
    </row>
    <row r="7" spans="2:14" ht="15.6" x14ac:dyDescent="0.3">
      <c r="B7" s="12" t="s">
        <v>27</v>
      </c>
      <c r="C7" s="13">
        <f>AVERAGE(C3:C6)</f>
        <v>285.75</v>
      </c>
      <c r="D7" s="15"/>
    </row>
    <row r="8" spans="2:14" ht="15" x14ac:dyDescent="0.3">
      <c r="B8" s="8"/>
      <c r="C8" s="8"/>
      <c r="D8" s="8"/>
    </row>
    <row r="9" spans="2:14" ht="15" x14ac:dyDescent="0.3">
      <c r="B9" s="8"/>
      <c r="C9" s="8"/>
      <c r="D9" s="8"/>
    </row>
    <row r="10" spans="2:14" ht="15" x14ac:dyDescent="0.3">
      <c r="B10" s="8"/>
      <c r="C10" s="8"/>
      <c r="D10" s="8"/>
    </row>
    <row r="11" spans="2:14" ht="15" x14ac:dyDescent="0.3">
      <c r="B11" s="8"/>
      <c r="C11" s="8"/>
      <c r="D11" s="8"/>
    </row>
    <row r="12" spans="2:14" ht="15" x14ac:dyDescent="0.3">
      <c r="B12" s="8"/>
      <c r="C12" s="8"/>
      <c r="D12" s="8"/>
    </row>
    <row r="13" spans="2:14" ht="15" x14ac:dyDescent="0.3">
      <c r="B13" s="8"/>
      <c r="C13" s="8"/>
      <c r="D13" s="8"/>
    </row>
    <row r="14" spans="2:14" ht="15" x14ac:dyDescent="0.3">
      <c r="B14" s="8"/>
      <c r="C14" s="8"/>
      <c r="D14" s="8"/>
    </row>
    <row r="15" spans="2:14" ht="15" x14ac:dyDescent="0.3">
      <c r="B15" s="8"/>
      <c r="C15" s="8"/>
      <c r="D1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E7CC-39A6-43AA-A053-CB5192248EC9}">
  <dimension ref="B2:AZ23"/>
  <sheetViews>
    <sheetView zoomScaleNormal="100" workbookViewId="0">
      <selection activeCell="F16" sqref="F16"/>
    </sheetView>
  </sheetViews>
  <sheetFormatPr defaultRowHeight="14.4" x14ac:dyDescent="0.3"/>
  <cols>
    <col min="1" max="8" width="8.88671875" style="17"/>
    <col min="9" max="9" width="18.109375" style="17" customWidth="1"/>
    <col min="10" max="10" width="11.88671875" style="17" customWidth="1"/>
    <col min="11" max="17" width="8.88671875" style="17"/>
    <col min="18" max="18" width="14.77734375" style="17" customWidth="1"/>
    <col min="19" max="19" width="13.21875" style="17" customWidth="1"/>
    <col min="20" max="20" width="11.21875" style="17" customWidth="1"/>
    <col min="21" max="23" width="8.88671875" style="17"/>
    <col min="24" max="24" width="14.77734375" style="17" customWidth="1"/>
    <col min="25" max="25" width="13.77734375" style="17" customWidth="1"/>
    <col min="26" max="26" width="11.21875" style="17" customWidth="1"/>
    <col min="27" max="30" width="8.88671875" style="17"/>
    <col min="31" max="31" width="16.6640625" style="17" customWidth="1"/>
    <col min="32" max="16384" width="8.88671875" style="17"/>
  </cols>
  <sheetData>
    <row r="2" spans="2:52" ht="72" x14ac:dyDescent="0.3">
      <c r="Q2" s="27" t="s">
        <v>40</v>
      </c>
      <c r="R2" s="27" t="s">
        <v>37</v>
      </c>
      <c r="S2" s="27" t="s">
        <v>38</v>
      </c>
      <c r="T2" s="27" t="s">
        <v>39</v>
      </c>
      <c r="W2" s="28" t="s">
        <v>40</v>
      </c>
      <c r="X2" s="27" t="s">
        <v>37</v>
      </c>
      <c r="Y2" s="27" t="s">
        <v>38</v>
      </c>
      <c r="Z2" s="27" t="s">
        <v>39</v>
      </c>
      <c r="AE2" s="33" t="s">
        <v>46</v>
      </c>
      <c r="AF2" s="31">
        <v>60</v>
      </c>
      <c r="AG2" s="26">
        <v>60</v>
      </c>
      <c r="AH2" s="26">
        <v>64</v>
      </c>
      <c r="AI2" s="26">
        <v>65</v>
      </c>
      <c r="AJ2" s="26">
        <v>65</v>
      </c>
      <c r="AK2" s="26">
        <v>66</v>
      </c>
      <c r="AL2" s="26">
        <v>66</v>
      </c>
      <c r="AM2" s="26">
        <v>66</v>
      </c>
      <c r="AN2" s="26">
        <v>67</v>
      </c>
      <c r="AO2" s="26">
        <v>67</v>
      </c>
      <c r="AP2" s="32">
        <v>67</v>
      </c>
      <c r="AQ2" s="26">
        <v>68</v>
      </c>
      <c r="AR2" s="26">
        <v>69</v>
      </c>
      <c r="AS2" s="26">
        <v>72</v>
      </c>
      <c r="AT2" s="26">
        <v>72</v>
      </c>
      <c r="AU2" s="26">
        <v>73</v>
      </c>
      <c r="AV2" s="26">
        <v>73</v>
      </c>
      <c r="AW2" s="26">
        <v>74</v>
      </c>
      <c r="AX2" s="26">
        <v>75</v>
      </c>
      <c r="AY2" s="26">
        <v>76</v>
      </c>
      <c r="AZ2" s="31">
        <v>77</v>
      </c>
    </row>
    <row r="3" spans="2:52" x14ac:dyDescent="0.3">
      <c r="Q3" s="26">
        <v>60</v>
      </c>
      <c r="R3" s="17">
        <f>Q3+4</f>
        <v>64</v>
      </c>
      <c r="S3" s="17">
        <f>Q3*2</f>
        <v>120</v>
      </c>
      <c r="T3" s="30"/>
      <c r="V3" s="18" t="s">
        <v>34</v>
      </c>
      <c r="W3" s="25">
        <f>AVERAGE(Q3:Q23)</f>
        <v>68.666666666666671</v>
      </c>
      <c r="X3" s="29">
        <f>AVERAGE(R3:R23)</f>
        <v>72.666666666666671</v>
      </c>
      <c r="Y3" s="29">
        <f>AVERAGE(S3:S23)</f>
        <v>137.33333333333334</v>
      </c>
      <c r="Z3" s="29">
        <f>AVERAGE(T3:T23)</f>
        <v>68.8</v>
      </c>
    </row>
    <row r="4" spans="2:52" x14ac:dyDescent="0.3">
      <c r="Q4" s="26">
        <v>60</v>
      </c>
      <c r="R4" s="17">
        <f t="shared" ref="R4:R23" si="0">Q4+4</f>
        <v>64</v>
      </c>
      <c r="S4" s="17">
        <f t="shared" ref="S4:S23" si="1">Q4*2</f>
        <v>120</v>
      </c>
      <c r="T4" s="17">
        <v>60</v>
      </c>
      <c r="V4" s="18" t="s">
        <v>35</v>
      </c>
      <c r="W4" s="19">
        <f>MEDIAN(Q3:Q23)</f>
        <v>67</v>
      </c>
      <c r="X4" s="26">
        <f>MEDIAN(R3:R23)</f>
        <v>71</v>
      </c>
      <c r="Y4" s="26">
        <f>MEDIAN(S3:S23)</f>
        <v>134</v>
      </c>
      <c r="Z4" s="26">
        <f>MEDIAN(T3:T23)</f>
        <v>68.5</v>
      </c>
      <c r="AE4" s="18" t="s">
        <v>41</v>
      </c>
      <c r="AF4" s="31">
        <f>MIN(AF2:AZ2)</f>
        <v>60</v>
      </c>
    </row>
    <row r="5" spans="2:52" x14ac:dyDescent="0.3">
      <c r="Q5" s="26">
        <v>64</v>
      </c>
      <c r="R5" s="17">
        <f t="shared" si="0"/>
        <v>68</v>
      </c>
      <c r="S5" s="17">
        <f t="shared" si="1"/>
        <v>128</v>
      </c>
      <c r="T5" s="17">
        <v>64</v>
      </c>
      <c r="V5" s="18" t="s">
        <v>36</v>
      </c>
      <c r="W5" s="19">
        <f>_xlfn.MODE.SNGL(Q3:Q23)</f>
        <v>66</v>
      </c>
      <c r="X5" s="26">
        <f>_xlfn.MODE.SNGL(R3:R23)</f>
        <v>70</v>
      </c>
      <c r="Y5" s="26">
        <f>_xlfn.MODE.SNGL(S3:S23)</f>
        <v>132</v>
      </c>
      <c r="Z5" s="26">
        <f>_xlfn.MODE.SNGL(T3:T23)</f>
        <v>67</v>
      </c>
      <c r="AE5" s="18" t="s">
        <v>42</v>
      </c>
      <c r="AF5" s="26">
        <f>_xlfn.QUARTILE.INC(AF2:AZ2,1)</f>
        <v>66</v>
      </c>
    </row>
    <row r="6" spans="2:52" x14ac:dyDescent="0.3">
      <c r="Q6" s="26">
        <v>65</v>
      </c>
      <c r="R6" s="17">
        <f t="shared" si="0"/>
        <v>69</v>
      </c>
      <c r="S6" s="17">
        <f t="shared" si="1"/>
        <v>130</v>
      </c>
      <c r="T6" s="17">
        <v>65</v>
      </c>
      <c r="V6" s="18" t="s">
        <v>29</v>
      </c>
      <c r="W6" s="19">
        <f>MAX(Q3:Q23)-MIN(Q3:Q23)</f>
        <v>17</v>
      </c>
      <c r="X6" s="26">
        <f>MAX(R3:R23)-MIN(R3:R23)</f>
        <v>17</v>
      </c>
      <c r="Y6" s="26">
        <f>MAX(S3:S23)-MIN(S3:S23)</f>
        <v>34</v>
      </c>
      <c r="Z6" s="26">
        <f>MAX(T3:T23)-MIN(T3:T23)</f>
        <v>17</v>
      </c>
      <c r="AE6" s="18" t="s">
        <v>43</v>
      </c>
      <c r="AF6" s="32">
        <f>MEDIAN(AF2:AZ2)</f>
        <v>67</v>
      </c>
    </row>
    <row r="7" spans="2:52" x14ac:dyDescent="0.3">
      <c r="Q7" s="26">
        <v>65</v>
      </c>
      <c r="R7" s="17">
        <f t="shared" si="0"/>
        <v>69</v>
      </c>
      <c r="S7" s="17">
        <f t="shared" si="1"/>
        <v>130</v>
      </c>
      <c r="T7" s="30">
        <v>61</v>
      </c>
      <c r="V7" s="18" t="s">
        <v>30</v>
      </c>
      <c r="W7" s="19">
        <f>_xlfn.QUARTILE.INC(Q3:Q23,3)-_xlfn.QUARTILE.INC(Q3:Q23,1)</f>
        <v>7</v>
      </c>
      <c r="X7" s="26">
        <f>_xlfn.QUARTILE.INC(R3:R23,3)-_xlfn.QUARTILE.INC(R3:R23,1)</f>
        <v>7</v>
      </c>
      <c r="Y7" s="26">
        <f>_xlfn.QUARTILE.INC(S3:S23,3)-_xlfn.QUARTILE.INC(S3:S23,1)</f>
        <v>14</v>
      </c>
      <c r="Z7" s="26">
        <f>_xlfn.QUARTILE.INC(T3:T23,3)-_xlfn.QUARTILE.INC(T3:T23,1)</f>
        <v>8</v>
      </c>
      <c r="AE7" s="18" t="s">
        <v>44</v>
      </c>
      <c r="AF7" s="26">
        <f>_xlfn.QUARTILE.INC(AF2:AZ2,3)</f>
        <v>73</v>
      </c>
    </row>
    <row r="8" spans="2:52" x14ac:dyDescent="0.3">
      <c r="Q8" s="26">
        <v>66</v>
      </c>
      <c r="R8" s="17">
        <f t="shared" si="0"/>
        <v>70</v>
      </c>
      <c r="S8" s="17">
        <f t="shared" si="1"/>
        <v>132</v>
      </c>
      <c r="T8" s="30">
        <v>62</v>
      </c>
      <c r="AE8" s="18" t="s">
        <v>45</v>
      </c>
      <c r="AF8" s="31">
        <f>MAX(AF2:AZ2)</f>
        <v>77</v>
      </c>
    </row>
    <row r="9" spans="2:52" ht="15" thickBot="1" x14ac:dyDescent="0.35">
      <c r="B9" s="20" t="s">
        <v>28</v>
      </c>
      <c r="D9" s="18" t="s">
        <v>29</v>
      </c>
      <c r="E9" s="19">
        <f>MAX('Ex_9, 10'!$B$10:$B$21)-MIN('Ex_9, 10'!$B$10:$B$21)</f>
        <v>21</v>
      </c>
      <c r="I9" s="17" t="s">
        <v>31</v>
      </c>
      <c r="J9" s="17" t="s">
        <v>7</v>
      </c>
      <c r="L9" s="18" t="s">
        <v>32</v>
      </c>
      <c r="M9" s="19">
        <f>MAX(Table5[Número de perros])-MIN(Table5[Número de perros])</f>
        <v>23</v>
      </c>
      <c r="Q9" s="26">
        <v>66</v>
      </c>
      <c r="R9" s="17">
        <f t="shared" si="0"/>
        <v>70</v>
      </c>
      <c r="S9" s="17">
        <f t="shared" si="1"/>
        <v>132</v>
      </c>
      <c r="T9" s="30">
        <v>70</v>
      </c>
    </row>
    <row r="10" spans="2:52" x14ac:dyDescent="0.3">
      <c r="B10" s="21">
        <v>0</v>
      </c>
      <c r="D10" s="18" t="s">
        <v>30</v>
      </c>
      <c r="E10" s="25">
        <f>_xlfn.QUARTILE.INC(B10:B21,3)-_xlfn.QUARTILE.INC(B10:B21,1)</f>
        <v>7.25</v>
      </c>
      <c r="I10" s="17">
        <v>20</v>
      </c>
      <c r="J10" s="17">
        <v>3</v>
      </c>
      <c r="L10" s="18" t="s">
        <v>33</v>
      </c>
      <c r="M10" s="19">
        <f>MAX(Table5[Frecuencia])-MIN(Table5[Frecuencia])</f>
        <v>2</v>
      </c>
      <c r="Q10" s="26">
        <v>66</v>
      </c>
      <c r="R10" s="17">
        <f t="shared" si="0"/>
        <v>70</v>
      </c>
      <c r="S10" s="17">
        <f t="shared" si="1"/>
        <v>132</v>
      </c>
      <c r="T10" s="17">
        <v>66</v>
      </c>
    </row>
    <row r="11" spans="2:52" x14ac:dyDescent="0.3">
      <c r="B11" s="22">
        <v>1</v>
      </c>
      <c r="E11" s="19"/>
      <c r="I11" s="17">
        <v>25</v>
      </c>
      <c r="J11" s="17">
        <v>1</v>
      </c>
      <c r="Q11" s="26">
        <v>67</v>
      </c>
      <c r="R11" s="17">
        <f t="shared" si="0"/>
        <v>71</v>
      </c>
      <c r="S11" s="17">
        <f t="shared" si="1"/>
        <v>134</v>
      </c>
      <c r="T11" s="17">
        <v>67</v>
      </c>
    </row>
    <row r="12" spans="2:52" x14ac:dyDescent="0.3">
      <c r="B12" s="75">
        <v>3</v>
      </c>
      <c r="I12" s="17">
        <v>32</v>
      </c>
      <c r="J12" s="17">
        <v>1</v>
      </c>
      <c r="Q12" s="26">
        <v>67</v>
      </c>
      <c r="R12" s="17">
        <f t="shared" si="0"/>
        <v>71</v>
      </c>
      <c r="S12" s="17">
        <f t="shared" si="1"/>
        <v>134</v>
      </c>
      <c r="T12" s="17">
        <v>67</v>
      </c>
    </row>
    <row r="13" spans="2:52" x14ac:dyDescent="0.3">
      <c r="B13" s="76">
        <v>3</v>
      </c>
      <c r="I13" s="17">
        <v>38</v>
      </c>
      <c r="J13" s="17">
        <v>2</v>
      </c>
      <c r="Q13" s="26">
        <v>67</v>
      </c>
      <c r="R13" s="17">
        <f t="shared" si="0"/>
        <v>71</v>
      </c>
      <c r="S13" s="17">
        <f t="shared" si="1"/>
        <v>134</v>
      </c>
      <c r="T13" s="17">
        <v>67</v>
      </c>
    </row>
    <row r="14" spans="2:52" x14ac:dyDescent="0.3">
      <c r="B14" s="22">
        <v>3</v>
      </c>
      <c r="I14" s="17">
        <v>39</v>
      </c>
      <c r="J14" s="17">
        <v>3</v>
      </c>
      <c r="Q14" s="26">
        <v>68</v>
      </c>
      <c r="R14" s="17">
        <f t="shared" si="0"/>
        <v>72</v>
      </c>
      <c r="S14" s="17">
        <f t="shared" si="1"/>
        <v>136</v>
      </c>
      <c r="T14" s="30">
        <v>70</v>
      </c>
    </row>
    <row r="15" spans="2:52" ht="15" thickBot="1" x14ac:dyDescent="0.35">
      <c r="B15" s="24">
        <v>6</v>
      </c>
      <c r="I15" s="17">
        <v>40</v>
      </c>
      <c r="J15" s="17">
        <v>2</v>
      </c>
      <c r="Q15" s="26">
        <v>69</v>
      </c>
      <c r="R15" s="17">
        <f t="shared" si="0"/>
        <v>73</v>
      </c>
      <c r="S15" s="17">
        <f t="shared" si="1"/>
        <v>138</v>
      </c>
      <c r="T15" s="30">
        <v>65</v>
      </c>
    </row>
    <row r="16" spans="2:52" x14ac:dyDescent="0.3">
      <c r="B16" s="21">
        <v>6</v>
      </c>
      <c r="I16" s="17">
        <v>43</v>
      </c>
      <c r="J16" s="17">
        <v>2</v>
      </c>
      <c r="Q16" s="26">
        <v>72</v>
      </c>
      <c r="R16" s="17">
        <f t="shared" si="0"/>
        <v>76</v>
      </c>
      <c r="S16" s="17">
        <f t="shared" si="1"/>
        <v>144</v>
      </c>
      <c r="T16" s="17">
        <v>72</v>
      </c>
    </row>
    <row r="17" spans="2:20" x14ac:dyDescent="0.3">
      <c r="B17" s="22">
        <v>7</v>
      </c>
      <c r="Q17" s="26">
        <v>72</v>
      </c>
      <c r="R17" s="17">
        <f t="shared" si="0"/>
        <v>76</v>
      </c>
      <c r="S17" s="17">
        <f t="shared" si="1"/>
        <v>144</v>
      </c>
      <c r="T17" s="17">
        <v>72</v>
      </c>
    </row>
    <row r="18" spans="2:20" x14ac:dyDescent="0.3">
      <c r="B18" s="75">
        <v>7</v>
      </c>
      <c r="Q18" s="26">
        <v>73</v>
      </c>
      <c r="R18" s="17">
        <f t="shared" si="0"/>
        <v>77</v>
      </c>
      <c r="S18" s="17">
        <f t="shared" si="1"/>
        <v>146</v>
      </c>
      <c r="T18" s="17">
        <v>73</v>
      </c>
    </row>
    <row r="19" spans="2:20" x14ac:dyDescent="0.3">
      <c r="B19" s="76">
        <v>20</v>
      </c>
      <c r="Q19" s="26">
        <v>73</v>
      </c>
      <c r="R19" s="17">
        <f t="shared" si="0"/>
        <v>77</v>
      </c>
      <c r="S19" s="17">
        <f t="shared" si="1"/>
        <v>146</v>
      </c>
      <c r="T19" s="17">
        <v>73</v>
      </c>
    </row>
    <row r="20" spans="2:20" x14ac:dyDescent="0.3">
      <c r="B20" s="22">
        <v>21</v>
      </c>
      <c r="Q20" s="26">
        <v>74</v>
      </c>
      <c r="R20" s="17">
        <f t="shared" si="0"/>
        <v>78</v>
      </c>
      <c r="S20" s="17">
        <f t="shared" si="1"/>
        <v>148</v>
      </c>
      <c r="T20" s="17">
        <v>74</v>
      </c>
    </row>
    <row r="21" spans="2:20" ht="15" thickBot="1" x14ac:dyDescent="0.35">
      <c r="B21" s="23">
        <v>21</v>
      </c>
      <c r="Q21" s="26">
        <v>75</v>
      </c>
      <c r="R21" s="17">
        <f t="shared" si="0"/>
        <v>79</v>
      </c>
      <c r="S21" s="17">
        <f t="shared" si="1"/>
        <v>150</v>
      </c>
      <c r="T21" s="17">
        <v>75</v>
      </c>
    </row>
    <row r="22" spans="2:20" x14ac:dyDescent="0.3">
      <c r="Q22" s="26">
        <v>76</v>
      </c>
      <c r="R22" s="17">
        <f t="shared" si="0"/>
        <v>80</v>
      </c>
      <c r="S22" s="17">
        <f t="shared" si="1"/>
        <v>152</v>
      </c>
      <c r="T22" s="17">
        <v>76</v>
      </c>
    </row>
    <row r="23" spans="2:20" x14ac:dyDescent="0.3">
      <c r="Q23" s="26">
        <v>77</v>
      </c>
      <c r="R23" s="17">
        <f t="shared" si="0"/>
        <v>81</v>
      </c>
      <c r="S23" s="17">
        <f t="shared" si="1"/>
        <v>154</v>
      </c>
      <c r="T23" s="17">
        <v>77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9640-1C38-46AD-B277-DD107A25E631}">
  <dimension ref="C3:S24"/>
  <sheetViews>
    <sheetView topLeftCell="A2" workbookViewId="0">
      <selection activeCell="P24" sqref="P24"/>
    </sheetView>
  </sheetViews>
  <sheetFormatPr defaultRowHeight="14.4" x14ac:dyDescent="0.3"/>
  <cols>
    <col min="3" max="3" width="12.5546875" bestFit="1" customWidth="1"/>
    <col min="4" max="4" width="19.5546875" bestFit="1" customWidth="1"/>
    <col min="5" max="5" width="13.109375" bestFit="1" customWidth="1"/>
    <col min="6" max="6" width="12.5546875" bestFit="1" customWidth="1"/>
    <col min="7" max="7" width="18.21875" bestFit="1" customWidth="1"/>
    <col min="8" max="8" width="4" bestFit="1" customWidth="1"/>
    <col min="9" max="9" width="10.77734375" bestFit="1" customWidth="1"/>
    <col min="10" max="10" width="8.44140625" bestFit="1" customWidth="1"/>
    <col min="11" max="11" width="9.5546875" bestFit="1" customWidth="1"/>
    <col min="12" max="12" width="9.88671875" bestFit="1" customWidth="1"/>
    <col min="13" max="13" width="10.77734375" bestFit="1" customWidth="1"/>
    <col min="14" max="14" width="10" customWidth="1"/>
    <col min="15" max="15" width="10.77734375" bestFit="1" customWidth="1"/>
    <col min="16" max="16" width="7.6640625" bestFit="1" customWidth="1"/>
    <col min="17" max="17" width="5" bestFit="1" customWidth="1"/>
    <col min="18" max="18" width="7.6640625" bestFit="1" customWidth="1"/>
    <col min="19" max="19" width="10.77734375" bestFit="1" customWidth="1"/>
    <col min="20" max="20" width="15.77734375" bestFit="1" customWidth="1"/>
  </cols>
  <sheetData>
    <row r="3" spans="3:19" ht="15" thickBot="1" x14ac:dyDescent="0.35"/>
    <row r="4" spans="3:19" ht="15" thickBot="1" x14ac:dyDescent="0.35">
      <c r="P4" s="26">
        <v>3</v>
      </c>
      <c r="R4" s="47" t="s">
        <v>34</v>
      </c>
      <c r="S4" s="48">
        <f>AVERAGE(P4:P16)</f>
        <v>7.1538461538461542</v>
      </c>
    </row>
    <row r="5" spans="3:19" ht="15" thickBot="1" x14ac:dyDescent="0.35">
      <c r="P5" s="26">
        <v>3</v>
      </c>
      <c r="R5" s="47" t="s">
        <v>35</v>
      </c>
      <c r="S5" s="48">
        <f>MEDIAN(P4:P16)</f>
        <v>7</v>
      </c>
    </row>
    <row r="6" spans="3:19" x14ac:dyDescent="0.3">
      <c r="P6" s="26">
        <v>3</v>
      </c>
      <c r="R6" s="43" t="s">
        <v>36</v>
      </c>
      <c r="S6" s="44" cm="1">
        <f t="array" ref="S6:S7">_xlfn.MODE.MULT(P4:P16)</f>
        <v>3</v>
      </c>
    </row>
    <row r="7" spans="3:19" ht="15" thickBot="1" x14ac:dyDescent="0.35">
      <c r="P7" s="26">
        <v>5</v>
      </c>
      <c r="R7" s="45"/>
      <c r="S7" s="46">
        <v>11</v>
      </c>
    </row>
    <row r="8" spans="3:19" x14ac:dyDescent="0.3">
      <c r="C8" s="36" t="s">
        <v>50</v>
      </c>
      <c r="D8" s="37" t="s">
        <v>47</v>
      </c>
      <c r="E8" s="37" t="s">
        <v>48</v>
      </c>
      <c r="F8" s="37" t="s">
        <v>49</v>
      </c>
      <c r="G8" s="38" t="s">
        <v>21</v>
      </c>
      <c r="I8" s="7"/>
      <c r="J8" s="7" t="s">
        <v>58</v>
      </c>
      <c r="K8" s="7" t="s">
        <v>59</v>
      </c>
      <c r="L8" s="7" t="s">
        <v>60</v>
      </c>
      <c r="M8" s="7" t="s">
        <v>21</v>
      </c>
      <c r="P8" s="26">
        <v>5</v>
      </c>
    </row>
    <row r="9" spans="3:19" x14ac:dyDescent="0.3">
      <c r="C9" s="34" t="s">
        <v>51</v>
      </c>
      <c r="D9" s="26">
        <v>40</v>
      </c>
      <c r="E9" s="26">
        <v>25</v>
      </c>
      <c r="F9" s="26">
        <v>55</v>
      </c>
      <c r="G9" s="35">
        <f>SUM(D9:F9)</f>
        <v>120</v>
      </c>
      <c r="I9" s="7" t="s">
        <v>56</v>
      </c>
      <c r="J9" s="7">
        <v>8</v>
      </c>
      <c r="K9" s="7">
        <v>15</v>
      </c>
      <c r="L9" s="7">
        <v>21</v>
      </c>
      <c r="M9" s="7">
        <f>SUM(J9:L9)</f>
        <v>44</v>
      </c>
      <c r="P9" s="26">
        <v>7</v>
      </c>
    </row>
    <row r="10" spans="3:19" x14ac:dyDescent="0.3">
      <c r="C10" s="34" t="s">
        <v>52</v>
      </c>
      <c r="D10" s="26">
        <v>52</v>
      </c>
      <c r="E10" s="26">
        <v>12</v>
      </c>
      <c r="F10" s="26">
        <v>71</v>
      </c>
      <c r="G10" s="35">
        <f t="shared" ref="G10:G12" si="0">SUM(D10:F10)</f>
        <v>135</v>
      </c>
      <c r="I10" s="7" t="s">
        <v>57</v>
      </c>
      <c r="J10" s="7">
        <v>13</v>
      </c>
      <c r="K10" s="7">
        <v>19</v>
      </c>
      <c r="L10" s="7">
        <v>24</v>
      </c>
      <c r="M10" s="7">
        <f t="shared" ref="M10:M11" si="1">SUM(J10:L10)</f>
        <v>56</v>
      </c>
      <c r="P10" s="26">
        <v>7</v>
      </c>
    </row>
    <row r="11" spans="3:19" x14ac:dyDescent="0.3">
      <c r="C11" s="34" t="s">
        <v>53</v>
      </c>
      <c r="D11" s="26">
        <v>56</v>
      </c>
      <c r="E11" s="26">
        <v>45</v>
      </c>
      <c r="F11" s="26">
        <v>54</v>
      </c>
      <c r="G11" s="35">
        <f t="shared" si="0"/>
        <v>155</v>
      </c>
      <c r="I11" s="7" t="s">
        <v>21</v>
      </c>
      <c r="J11" s="7">
        <f>SUM(J9:J10)</f>
        <v>21</v>
      </c>
      <c r="K11" s="7">
        <f t="shared" ref="K11:L11" si="2">SUM(K9:K10)</f>
        <v>34</v>
      </c>
      <c r="L11" s="7">
        <f t="shared" si="2"/>
        <v>45</v>
      </c>
      <c r="M11" s="7">
        <f t="shared" si="1"/>
        <v>100</v>
      </c>
      <c r="P11" s="26">
        <v>8</v>
      </c>
    </row>
    <row r="12" spans="3:19" x14ac:dyDescent="0.3">
      <c r="C12" s="34" t="s">
        <v>54</v>
      </c>
      <c r="D12" s="26">
        <v>30</v>
      </c>
      <c r="E12" s="26">
        <v>60</v>
      </c>
      <c r="F12" s="26">
        <v>20</v>
      </c>
      <c r="G12" s="35">
        <f t="shared" si="0"/>
        <v>110</v>
      </c>
      <c r="P12" s="26">
        <v>9</v>
      </c>
    </row>
    <row r="13" spans="3:19" x14ac:dyDescent="0.3">
      <c r="C13" s="39" t="s">
        <v>21</v>
      </c>
      <c r="D13" s="40">
        <f>SUBTOTAL(109,D9:D12)</f>
        <v>178</v>
      </c>
      <c r="E13" s="40">
        <f t="shared" ref="E13:F13" si="3">SUM(E9:E12)</f>
        <v>142</v>
      </c>
      <c r="F13" s="40">
        <f t="shared" si="3"/>
        <v>200</v>
      </c>
      <c r="G13" s="41">
        <f>SUM(G9:G12)</f>
        <v>520</v>
      </c>
      <c r="P13" s="26">
        <v>10</v>
      </c>
    </row>
    <row r="14" spans="3:19" x14ac:dyDescent="0.3">
      <c r="P14" s="26">
        <v>11</v>
      </c>
    </row>
    <row r="15" spans="3:19" x14ac:dyDescent="0.3">
      <c r="P15" s="26">
        <v>11</v>
      </c>
    </row>
    <row r="16" spans="3:19" x14ac:dyDescent="0.3">
      <c r="C16" s="1" t="s">
        <v>12</v>
      </c>
      <c r="D16" t="s">
        <v>55</v>
      </c>
      <c r="P16" s="26">
        <v>11</v>
      </c>
    </row>
    <row r="17" spans="3:11" x14ac:dyDescent="0.3">
      <c r="C17" s="2" t="s">
        <v>51</v>
      </c>
      <c r="D17" s="6">
        <v>0.176056338028169</v>
      </c>
    </row>
    <row r="18" spans="3:11" x14ac:dyDescent="0.3">
      <c r="C18" s="2" t="s">
        <v>52</v>
      </c>
      <c r="D18" s="6">
        <v>8.4507042253521125E-2</v>
      </c>
    </row>
    <row r="19" spans="3:11" x14ac:dyDescent="0.3">
      <c r="C19" s="2" t="s">
        <v>53</v>
      </c>
      <c r="D19" s="6">
        <v>0.31690140845070425</v>
      </c>
      <c r="I19" s="17">
        <v>7</v>
      </c>
      <c r="J19" s="70" t="s">
        <v>34</v>
      </c>
      <c r="K19" s="17">
        <f>AVERAGE(I19:I23)</f>
        <v>3.8</v>
      </c>
    </row>
    <row r="20" spans="3:11" ht="29.4" thickBot="1" x14ac:dyDescent="0.35">
      <c r="C20" s="2" t="s">
        <v>54</v>
      </c>
      <c r="D20" s="42">
        <v>0.42253521126760563</v>
      </c>
      <c r="I20" s="17">
        <v>4</v>
      </c>
      <c r="J20" s="71" t="s">
        <v>84</v>
      </c>
      <c r="K20" s="72">
        <f>STDEV(I19:I23)</f>
        <v>2.16794833886788</v>
      </c>
    </row>
    <row r="21" spans="3:11" x14ac:dyDescent="0.3">
      <c r="C21" s="2" t="s">
        <v>2</v>
      </c>
      <c r="D21" s="6">
        <v>1</v>
      </c>
      <c r="I21" s="17">
        <v>4</v>
      </c>
      <c r="J21" s="43" t="s">
        <v>69</v>
      </c>
      <c r="K21" s="73">
        <f>_xlfn.VAR.S(I19:I23)</f>
        <v>4.6999999999999993</v>
      </c>
    </row>
    <row r="22" spans="3:11" ht="15" thickBot="1" x14ac:dyDescent="0.35">
      <c r="I22" s="17">
        <v>1</v>
      </c>
      <c r="J22" s="45" t="s">
        <v>85</v>
      </c>
      <c r="K22" s="74">
        <f>SQRT(K21)</f>
        <v>2.16794833886788</v>
      </c>
    </row>
    <row r="23" spans="3:11" x14ac:dyDescent="0.3">
      <c r="I23" s="17">
        <v>3</v>
      </c>
    </row>
    <row r="24" spans="3:11" x14ac:dyDescent="0.3">
      <c r="I24" s="17"/>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959D-170D-41D0-8857-857C0B9F14A5}">
  <dimension ref="B2:F8"/>
  <sheetViews>
    <sheetView zoomScale="80" zoomScaleNormal="80" workbookViewId="0">
      <selection activeCell="B3" sqref="B3"/>
    </sheetView>
  </sheetViews>
  <sheetFormatPr defaultRowHeight="14.4" x14ac:dyDescent="0.3"/>
  <cols>
    <col min="2" max="2" width="14.109375" customWidth="1"/>
    <col min="5" max="5" width="12.5546875" bestFit="1" customWidth="1"/>
    <col min="9" max="9" width="15.44140625" customWidth="1"/>
  </cols>
  <sheetData>
    <row r="2" spans="2:6" x14ac:dyDescent="0.3">
      <c r="B2" t="s">
        <v>61</v>
      </c>
    </row>
    <row r="4" spans="2:6" x14ac:dyDescent="0.3">
      <c r="B4" s="18" t="s">
        <v>45</v>
      </c>
      <c r="C4" s="49">
        <v>845300</v>
      </c>
      <c r="E4" s="18" t="s">
        <v>62</v>
      </c>
      <c r="F4" s="50">
        <f>C4-C8</f>
        <v>629010</v>
      </c>
    </row>
    <row r="5" spans="2:6" x14ac:dyDescent="0.3">
      <c r="B5" s="18" t="s">
        <v>44</v>
      </c>
      <c r="C5" s="49">
        <v>790370</v>
      </c>
      <c r="E5" s="18" t="s">
        <v>30</v>
      </c>
      <c r="F5" s="50">
        <f>C5-C7</f>
        <v>465494</v>
      </c>
    </row>
    <row r="6" spans="2:6" x14ac:dyDescent="0.3">
      <c r="B6" s="18" t="s">
        <v>43</v>
      </c>
      <c r="C6" s="49">
        <v>617594</v>
      </c>
    </row>
    <row r="7" spans="2:6" x14ac:dyDescent="0.3">
      <c r="B7" s="18" t="s">
        <v>42</v>
      </c>
      <c r="C7" s="49">
        <v>324876</v>
      </c>
    </row>
    <row r="8" spans="2:6" x14ac:dyDescent="0.3">
      <c r="B8" s="18" t="s">
        <v>41</v>
      </c>
      <c r="C8" s="49">
        <v>216290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F1D3-6749-483E-A322-65EEC0E3893F}">
  <dimension ref="A2:M12"/>
  <sheetViews>
    <sheetView zoomScale="80" zoomScaleNormal="80" workbookViewId="0">
      <selection activeCell="G2" sqref="G2:M2"/>
    </sheetView>
  </sheetViews>
  <sheetFormatPr defaultRowHeight="14.4" x14ac:dyDescent="0.3"/>
  <cols>
    <col min="1" max="1" width="18.44140625" bestFit="1" customWidth="1"/>
    <col min="2" max="2" width="21" customWidth="1"/>
    <col min="3" max="3" width="16.44140625" customWidth="1"/>
  </cols>
  <sheetData>
    <row r="2" spans="1:13" ht="20.399999999999999" x14ac:dyDescent="0.3">
      <c r="A2" s="78" t="s">
        <v>63</v>
      </c>
      <c r="B2" s="78"/>
      <c r="C2" s="78"/>
      <c r="D2" s="78"/>
      <c r="E2" s="78"/>
      <c r="G2" s="77" t="s">
        <v>68</v>
      </c>
      <c r="H2" s="77"/>
      <c r="I2" s="77"/>
      <c r="J2" s="77"/>
      <c r="K2" s="77"/>
      <c r="L2" s="77"/>
      <c r="M2" s="77"/>
    </row>
    <row r="3" spans="1:13" x14ac:dyDescent="0.3">
      <c r="G3" s="26">
        <v>100</v>
      </c>
      <c r="H3" s="26">
        <v>300</v>
      </c>
      <c r="I3" s="26">
        <v>300</v>
      </c>
      <c r="J3" s="26">
        <v>2000</v>
      </c>
      <c r="K3" s="26">
        <v>3050</v>
      </c>
      <c r="L3" s="26">
        <v>3050</v>
      </c>
      <c r="M3" s="26">
        <v>4800</v>
      </c>
    </row>
    <row r="5" spans="1:13" ht="28.8" x14ac:dyDescent="0.3">
      <c r="A5" s="17"/>
      <c r="B5" s="28" t="s">
        <v>66</v>
      </c>
      <c r="C5" s="28" t="s">
        <v>67</v>
      </c>
    </row>
    <row r="6" spans="1:13" x14ac:dyDescent="0.3">
      <c r="A6" s="18" t="s">
        <v>41</v>
      </c>
      <c r="B6" s="17">
        <v>100</v>
      </c>
      <c r="C6" s="26">
        <f>MIN(G3:M3)</f>
        <v>100</v>
      </c>
    </row>
    <row r="7" spans="1:13" x14ac:dyDescent="0.3">
      <c r="A7" s="18" t="s">
        <v>42</v>
      </c>
      <c r="B7" s="17">
        <v>300</v>
      </c>
      <c r="C7" s="26">
        <f>_xlfn.QUARTILE.INC(G3:M3,1)</f>
        <v>300</v>
      </c>
    </row>
    <row r="8" spans="1:13" x14ac:dyDescent="0.3">
      <c r="A8" s="18" t="s">
        <v>43</v>
      </c>
      <c r="B8" s="17">
        <v>2000</v>
      </c>
      <c r="C8" s="26">
        <f>MEDIAN(G3:M3)</f>
        <v>2000</v>
      </c>
    </row>
    <row r="9" spans="1:13" x14ac:dyDescent="0.3">
      <c r="A9" s="18" t="s">
        <v>44</v>
      </c>
      <c r="B9" s="17">
        <v>3050</v>
      </c>
      <c r="C9" s="26">
        <f>_xlfn.QUARTILE.INC(G3:M3,3)</f>
        <v>3050</v>
      </c>
    </row>
    <row r="10" spans="1:13" x14ac:dyDescent="0.3">
      <c r="A10" s="18" t="s">
        <v>45</v>
      </c>
      <c r="B10" s="17">
        <v>4800</v>
      </c>
      <c r="C10" s="26">
        <f>MAX(G3:M3)</f>
        <v>4800</v>
      </c>
    </row>
    <row r="11" spans="1:13" x14ac:dyDescent="0.3">
      <c r="A11" s="51" t="s">
        <v>36</v>
      </c>
      <c r="B11" s="17">
        <v>300</v>
      </c>
      <c r="C11" s="26">
        <f>_xlfn.MODE.SNGL(G3:M3)</f>
        <v>300</v>
      </c>
    </row>
    <row r="12" spans="1:13" x14ac:dyDescent="0.3">
      <c r="A12" s="51" t="s">
        <v>64</v>
      </c>
      <c r="B12" s="52">
        <v>1887.5</v>
      </c>
      <c r="C12" s="26">
        <f>AVERAGE(G3:M3)</f>
        <v>1942.8571428571429</v>
      </c>
      <c r="D12" t="s">
        <v>65</v>
      </c>
    </row>
  </sheetData>
  <mergeCells count="2">
    <mergeCell ref="G2:M2"/>
    <mergeCell ref="A2:E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5FC8-3689-42ED-8173-CEE1E86C9C81}">
  <dimension ref="C4:H11"/>
  <sheetViews>
    <sheetView workbookViewId="0">
      <selection activeCell="D10" sqref="D10"/>
    </sheetView>
  </sheetViews>
  <sheetFormatPr defaultRowHeight="14.4" x14ac:dyDescent="0.3"/>
  <sheetData>
    <row r="4" spans="3:8" x14ac:dyDescent="0.3">
      <c r="C4" s="7" t="s">
        <v>72</v>
      </c>
      <c r="D4" s="7">
        <v>10</v>
      </c>
      <c r="E4" s="7">
        <v>12</v>
      </c>
      <c r="F4" s="7">
        <v>14</v>
      </c>
      <c r="G4" s="7">
        <v>16</v>
      </c>
      <c r="H4" s="7">
        <v>18</v>
      </c>
    </row>
    <row r="5" spans="3:8" x14ac:dyDescent="0.3">
      <c r="C5" s="7" t="s">
        <v>73</v>
      </c>
      <c r="D5" s="7">
        <f>D4+10</f>
        <v>20</v>
      </c>
      <c r="E5" s="7">
        <f t="shared" ref="E5:H5" si="0">E4+10</f>
        <v>22</v>
      </c>
      <c r="F5" s="7">
        <f t="shared" si="0"/>
        <v>24</v>
      </c>
      <c r="G5" s="7">
        <f t="shared" si="0"/>
        <v>26</v>
      </c>
      <c r="H5" s="7">
        <f t="shared" si="0"/>
        <v>28</v>
      </c>
    </row>
    <row r="8" spans="3:8" x14ac:dyDescent="0.3">
      <c r="C8" s="7"/>
      <c r="D8" s="7" t="s">
        <v>72</v>
      </c>
      <c r="E8" s="7" t="s">
        <v>73</v>
      </c>
    </row>
    <row r="9" spans="3:8" x14ac:dyDescent="0.3">
      <c r="C9" s="7" t="s">
        <v>27</v>
      </c>
      <c r="D9" s="7">
        <f>AVERAGE(D4:H4)</f>
        <v>14</v>
      </c>
      <c r="E9" s="7">
        <f>AVERAGE(D5:H5)</f>
        <v>24</v>
      </c>
    </row>
    <row r="10" spans="3:8" x14ac:dyDescent="0.3">
      <c r="C10" s="7" t="s">
        <v>70</v>
      </c>
      <c r="D10" s="7">
        <f>_xlfn.VAR.P(D4:H4)</f>
        <v>8</v>
      </c>
      <c r="E10" s="7">
        <f>_xlfn.VAR.P(D5:H5)</f>
        <v>8</v>
      </c>
    </row>
    <row r="11" spans="3:8" ht="28.8" x14ac:dyDescent="0.3">
      <c r="C11" s="53" t="s">
        <v>71</v>
      </c>
      <c r="D11" s="54">
        <f>SQRT(D10)</f>
        <v>2.8284271247461903</v>
      </c>
      <c r="E11" s="54">
        <f>SQRT(E10)</f>
        <v>2.8284271247461903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CDE8-FF92-4FA3-AC3E-AF516E5970ED}">
  <dimension ref="K1:O39"/>
  <sheetViews>
    <sheetView topLeftCell="G1" zoomScale="110" zoomScaleNormal="110" workbookViewId="0">
      <selection activeCell="U9" sqref="U9"/>
    </sheetView>
  </sheetViews>
  <sheetFormatPr defaultRowHeight="15" x14ac:dyDescent="0.3"/>
  <cols>
    <col min="1" max="10" width="8.88671875" style="8"/>
    <col min="11" max="11" width="12.5546875" style="8" bestFit="1" customWidth="1"/>
    <col min="12" max="12" width="13.88671875" style="8" bestFit="1" customWidth="1"/>
    <col min="13" max="16384" width="8.88671875" style="8"/>
  </cols>
  <sheetData>
    <row r="1" spans="11:11" x14ac:dyDescent="0.3">
      <c r="K1" s="55" t="s">
        <v>28</v>
      </c>
    </row>
    <row r="2" spans="11:11" x14ac:dyDescent="0.3">
      <c r="K2" s="55">
        <v>10</v>
      </c>
    </row>
    <row r="3" spans="11:11" x14ac:dyDescent="0.3">
      <c r="K3" s="55">
        <v>11</v>
      </c>
    </row>
    <row r="4" spans="11:11" x14ac:dyDescent="0.3">
      <c r="K4" s="55">
        <v>12</v>
      </c>
    </row>
    <row r="5" spans="11:11" x14ac:dyDescent="0.3">
      <c r="K5" s="55">
        <v>18</v>
      </c>
    </row>
    <row r="6" spans="11:11" x14ac:dyDescent="0.3">
      <c r="K6" s="55">
        <v>28</v>
      </c>
    </row>
    <row r="7" spans="11:11" x14ac:dyDescent="0.3">
      <c r="K7" s="55">
        <v>28</v>
      </c>
    </row>
    <row r="8" spans="11:11" x14ac:dyDescent="0.3">
      <c r="K8" s="55">
        <v>29</v>
      </c>
    </row>
    <row r="9" spans="11:11" x14ac:dyDescent="0.3">
      <c r="K9" s="55">
        <v>32</v>
      </c>
    </row>
    <row r="10" spans="11:11" x14ac:dyDescent="0.3">
      <c r="K10" s="55">
        <v>36</v>
      </c>
    </row>
    <row r="11" spans="11:11" x14ac:dyDescent="0.3">
      <c r="K11" s="55">
        <v>38</v>
      </c>
    </row>
    <row r="12" spans="11:11" x14ac:dyDescent="0.3">
      <c r="K12" s="55">
        <v>39</v>
      </c>
    </row>
    <row r="13" spans="11:11" x14ac:dyDescent="0.3">
      <c r="K13" s="55">
        <v>43</v>
      </c>
    </row>
    <row r="14" spans="11:11" x14ac:dyDescent="0.3">
      <c r="K14" s="55">
        <v>44</v>
      </c>
    </row>
    <row r="15" spans="11:11" x14ac:dyDescent="0.3">
      <c r="K15" s="55">
        <v>44</v>
      </c>
    </row>
    <row r="16" spans="11:11" x14ac:dyDescent="0.3">
      <c r="K16" s="55">
        <v>45</v>
      </c>
    </row>
    <row r="17" spans="11:15" x14ac:dyDescent="0.3">
      <c r="K17" s="55">
        <v>52</v>
      </c>
    </row>
    <row r="18" spans="11:15" x14ac:dyDescent="0.3">
      <c r="K18" s="55">
        <v>56</v>
      </c>
    </row>
    <row r="19" spans="11:15" x14ac:dyDescent="0.3">
      <c r="K19" s="55">
        <v>60</v>
      </c>
    </row>
    <row r="22" spans="11:15" x14ac:dyDescent="0.3">
      <c r="K22" s="1" t="s">
        <v>12</v>
      </c>
      <c r="L22" t="s">
        <v>91</v>
      </c>
      <c r="M22" s="2"/>
      <c r="N22"/>
      <c r="O22"/>
    </row>
    <row r="23" spans="11:15" x14ac:dyDescent="0.3">
      <c r="K23" s="2" t="s">
        <v>86</v>
      </c>
      <c r="L23">
        <v>4</v>
      </c>
      <c r="M23" s="2"/>
      <c r="N23"/>
      <c r="O23"/>
    </row>
    <row r="24" spans="11:15" x14ac:dyDescent="0.3">
      <c r="K24" s="2" t="s">
        <v>87</v>
      </c>
      <c r="L24">
        <v>3</v>
      </c>
      <c r="M24" s="2"/>
      <c r="N24"/>
      <c r="O24"/>
    </row>
    <row r="25" spans="11:15" x14ac:dyDescent="0.3">
      <c r="K25" s="2" t="s">
        <v>88</v>
      </c>
      <c r="L25">
        <v>4</v>
      </c>
      <c r="M25" s="2"/>
      <c r="N25"/>
      <c r="O25"/>
    </row>
    <row r="26" spans="11:15" x14ac:dyDescent="0.3">
      <c r="K26" s="2" t="s">
        <v>89</v>
      </c>
      <c r="L26">
        <v>4</v>
      </c>
      <c r="M26" s="2"/>
      <c r="N26"/>
      <c r="O26"/>
    </row>
    <row r="27" spans="11:15" x14ac:dyDescent="0.3">
      <c r="K27" s="2" t="s">
        <v>90</v>
      </c>
      <c r="L27">
        <v>3</v>
      </c>
      <c r="M27" s="2"/>
      <c r="N27"/>
      <c r="O27"/>
    </row>
    <row r="28" spans="11:15" x14ac:dyDescent="0.3">
      <c r="K28" s="2" t="s">
        <v>2</v>
      </c>
      <c r="L28">
        <v>18</v>
      </c>
      <c r="M28"/>
      <c r="N28"/>
      <c r="O28"/>
    </row>
    <row r="29" spans="11:15" x14ac:dyDescent="0.3">
      <c r="K29"/>
      <c r="L29"/>
      <c r="M29"/>
    </row>
    <row r="30" spans="11:15" x14ac:dyDescent="0.3">
      <c r="K30"/>
      <c r="L30"/>
      <c r="M30"/>
    </row>
    <row r="31" spans="11:15" x14ac:dyDescent="0.3">
      <c r="K31"/>
      <c r="L31"/>
      <c r="M31"/>
    </row>
    <row r="32" spans="11:15" x14ac:dyDescent="0.3">
      <c r="K32"/>
      <c r="L32"/>
      <c r="M32"/>
    </row>
    <row r="33" spans="11:13" x14ac:dyDescent="0.3">
      <c r="K33"/>
      <c r="L33"/>
      <c r="M33"/>
    </row>
    <row r="34" spans="11:13" x14ac:dyDescent="0.3">
      <c r="K34"/>
      <c r="L34"/>
      <c r="M34"/>
    </row>
    <row r="35" spans="11:13" x14ac:dyDescent="0.3">
      <c r="K35"/>
      <c r="L35"/>
      <c r="M35"/>
    </row>
    <row r="36" spans="11:13" x14ac:dyDescent="0.3">
      <c r="K36"/>
      <c r="L36"/>
      <c r="M36"/>
    </row>
    <row r="37" spans="11:13" x14ac:dyDescent="0.3">
      <c r="K37"/>
      <c r="L37"/>
      <c r="M37"/>
    </row>
    <row r="38" spans="11:13" x14ac:dyDescent="0.3">
      <c r="K38"/>
      <c r="L38"/>
      <c r="M38"/>
    </row>
    <row r="39" spans="11:13" x14ac:dyDescent="0.3">
      <c r="K39"/>
      <c r="L39"/>
      <c r="M39"/>
    </row>
  </sheetData>
  <pageMargins left="0.7" right="0.7" top="0.75" bottom="0.75" header="0.3" footer="0.3"/>
  <pageSetup orientation="portrait" horizontalDpi="1200" verticalDpi="120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D516-EA34-4583-89BE-0FB987F3A15D}">
  <dimension ref="G2:O26"/>
  <sheetViews>
    <sheetView topLeftCell="A2" zoomScale="110" zoomScaleNormal="110" workbookViewId="0">
      <selection activeCell="U14" sqref="U14"/>
    </sheetView>
  </sheetViews>
  <sheetFormatPr defaultRowHeight="14.4" x14ac:dyDescent="0.3"/>
  <cols>
    <col min="1" max="1" width="12.5546875" bestFit="1" customWidth="1"/>
    <col min="2" max="2" width="22.33203125" bestFit="1" customWidth="1"/>
    <col min="7" max="7" width="10.33203125" customWidth="1"/>
    <col min="8" max="8" width="11.88671875" customWidth="1"/>
    <col min="9" max="9" width="3.21875" customWidth="1"/>
    <col min="10" max="10" width="19.33203125" customWidth="1"/>
    <col min="14" max="14" width="13.88671875" bestFit="1" customWidth="1"/>
    <col min="15" max="15" width="4.5546875" customWidth="1"/>
    <col min="16" max="16" width="18.109375" bestFit="1" customWidth="1"/>
  </cols>
  <sheetData>
    <row r="2" spans="7:15" x14ac:dyDescent="0.3">
      <c r="M2" s="26" t="s">
        <v>74</v>
      </c>
      <c r="N2" s="26" t="s">
        <v>75</v>
      </c>
      <c r="O2" s="17"/>
    </row>
    <row r="3" spans="7:15" x14ac:dyDescent="0.3">
      <c r="M3" s="26">
        <v>1</v>
      </c>
      <c r="N3" s="26">
        <v>0</v>
      </c>
      <c r="O3" s="17"/>
    </row>
    <row r="4" spans="7:15" x14ac:dyDescent="0.3">
      <c r="M4" s="26">
        <v>2</v>
      </c>
      <c r="N4" s="26">
        <v>18</v>
      </c>
      <c r="O4" s="17"/>
    </row>
    <row r="5" spans="7:15" x14ac:dyDescent="0.3">
      <c r="M5" s="26">
        <v>3</v>
      </c>
      <c r="N5" s="26">
        <v>19</v>
      </c>
      <c r="O5" s="17"/>
    </row>
    <row r="6" spans="7:15" x14ac:dyDescent="0.3">
      <c r="M6" s="26">
        <v>4</v>
      </c>
      <c r="N6" s="26">
        <v>20</v>
      </c>
      <c r="O6" s="17"/>
    </row>
    <row r="7" spans="7:15" x14ac:dyDescent="0.3">
      <c r="M7" s="26">
        <v>5</v>
      </c>
      <c r="N7" s="26">
        <v>20</v>
      </c>
      <c r="O7" s="17"/>
    </row>
    <row r="8" spans="7:15" x14ac:dyDescent="0.3">
      <c r="M8" s="26">
        <v>6</v>
      </c>
      <c r="N8" s="26">
        <v>20</v>
      </c>
      <c r="O8" s="17"/>
    </row>
    <row r="9" spans="7:15" x14ac:dyDescent="0.3">
      <c r="M9" s="26">
        <v>7</v>
      </c>
      <c r="N9" s="26">
        <v>21</v>
      </c>
      <c r="O9" s="17"/>
    </row>
    <row r="10" spans="7:15" ht="15" thickBot="1" x14ac:dyDescent="0.35">
      <c r="M10" s="26">
        <v>8</v>
      </c>
      <c r="N10" s="26">
        <v>23</v>
      </c>
      <c r="O10" s="17"/>
    </row>
    <row r="11" spans="7:15" ht="28.8" x14ac:dyDescent="0.3">
      <c r="G11" s="61" t="s">
        <v>83</v>
      </c>
      <c r="H11" s="17" t="s">
        <v>82</v>
      </c>
      <c r="J11" s="62" t="s">
        <v>34</v>
      </c>
      <c r="K11" s="63">
        <f>AVERAGE(N3:N26)</f>
        <v>22.833333333333332</v>
      </c>
      <c r="M11" s="26">
        <v>9</v>
      </c>
      <c r="N11" s="26">
        <v>23</v>
      </c>
      <c r="O11" s="17"/>
    </row>
    <row r="12" spans="7:15" x14ac:dyDescent="0.3">
      <c r="G12" s="2">
        <v>0</v>
      </c>
      <c r="H12">
        <v>1</v>
      </c>
      <c r="J12" s="64" t="s">
        <v>43</v>
      </c>
      <c r="K12" s="65">
        <f>MEDIAN(N3:N26)</f>
        <v>24</v>
      </c>
      <c r="M12" s="26">
        <v>10</v>
      </c>
      <c r="N12" s="26">
        <v>23</v>
      </c>
      <c r="O12" s="17"/>
    </row>
    <row r="13" spans="7:15" x14ac:dyDescent="0.3">
      <c r="G13" s="2">
        <v>18</v>
      </c>
      <c r="H13">
        <v>1</v>
      </c>
      <c r="J13" s="64" t="s">
        <v>36</v>
      </c>
      <c r="K13" s="65">
        <f>_xlfn.MODE.SNGL(N3:N26)</f>
        <v>25</v>
      </c>
      <c r="M13" s="26">
        <v>11</v>
      </c>
      <c r="N13" s="26">
        <v>24</v>
      </c>
      <c r="O13" s="17"/>
    </row>
    <row r="14" spans="7:15" x14ac:dyDescent="0.3">
      <c r="G14" s="2">
        <v>19</v>
      </c>
      <c r="H14">
        <v>1</v>
      </c>
      <c r="J14" s="57" t="s">
        <v>76</v>
      </c>
      <c r="K14" s="58">
        <f>MAX(N3:N26)</f>
        <v>31</v>
      </c>
      <c r="M14" s="26">
        <v>12</v>
      </c>
      <c r="N14" s="26">
        <v>24</v>
      </c>
      <c r="O14" s="17"/>
    </row>
    <row r="15" spans="7:15" x14ac:dyDescent="0.3">
      <c r="G15" s="2">
        <v>20</v>
      </c>
      <c r="H15">
        <v>3</v>
      </c>
      <c r="J15" s="57" t="s">
        <v>77</v>
      </c>
      <c r="K15" s="58">
        <f>MIN(N3:N26)</f>
        <v>0</v>
      </c>
      <c r="M15" s="26">
        <v>13</v>
      </c>
      <c r="N15" s="26">
        <v>24</v>
      </c>
      <c r="O15" s="17"/>
    </row>
    <row r="16" spans="7:15" x14ac:dyDescent="0.3">
      <c r="G16" s="2">
        <v>21</v>
      </c>
      <c r="H16">
        <v>1</v>
      </c>
      <c r="J16" s="57" t="s">
        <v>42</v>
      </c>
      <c r="K16" s="59">
        <f>_xlfn.QUARTILE.INC(N3:N26,1)</f>
        <v>20.75</v>
      </c>
      <c r="M16" s="26">
        <v>14</v>
      </c>
      <c r="N16" s="26">
        <v>24</v>
      </c>
      <c r="O16" s="17"/>
    </row>
    <row r="17" spans="7:15" x14ac:dyDescent="0.3">
      <c r="G17" s="2">
        <v>23</v>
      </c>
      <c r="H17">
        <v>3</v>
      </c>
      <c r="J17" s="57" t="s">
        <v>44</v>
      </c>
      <c r="K17" s="58">
        <f>_xlfn.QUARTILE.INC(N3:N26,3)</f>
        <v>25</v>
      </c>
      <c r="M17" s="26">
        <v>15</v>
      </c>
      <c r="N17" s="26">
        <v>24</v>
      </c>
      <c r="O17" s="17"/>
    </row>
    <row r="18" spans="7:15" x14ac:dyDescent="0.3">
      <c r="G18" s="2">
        <v>24</v>
      </c>
      <c r="H18">
        <v>5</v>
      </c>
      <c r="J18" s="56" t="s">
        <v>30</v>
      </c>
      <c r="K18" s="60">
        <f>K17-K16</f>
        <v>4.25</v>
      </c>
      <c r="M18" s="26">
        <v>16</v>
      </c>
      <c r="N18" s="26">
        <v>25</v>
      </c>
      <c r="O18" s="17"/>
    </row>
    <row r="19" spans="7:15" x14ac:dyDescent="0.3">
      <c r="G19" s="2">
        <v>25</v>
      </c>
      <c r="H19">
        <v>6</v>
      </c>
      <c r="J19" s="66" t="s">
        <v>80</v>
      </c>
      <c r="K19" s="67">
        <f>K16-(1.5*K18)</f>
        <v>14.375</v>
      </c>
      <c r="M19" s="26">
        <v>17</v>
      </c>
      <c r="N19" s="26">
        <v>25</v>
      </c>
      <c r="O19" s="17"/>
    </row>
    <row r="20" spans="7:15" x14ac:dyDescent="0.3">
      <c r="G20" s="2">
        <v>30</v>
      </c>
      <c r="H20">
        <v>2</v>
      </c>
      <c r="J20" s="66" t="s">
        <v>81</v>
      </c>
      <c r="K20" s="67">
        <f>K17+(1.5*K18)</f>
        <v>31.375</v>
      </c>
      <c r="M20" s="26">
        <v>18</v>
      </c>
      <c r="N20" s="26">
        <v>25</v>
      </c>
      <c r="O20" s="17"/>
    </row>
    <row r="21" spans="7:15" x14ac:dyDescent="0.3">
      <c r="G21" s="2">
        <v>31</v>
      </c>
      <c r="H21">
        <v>1</v>
      </c>
      <c r="J21" s="57" t="s">
        <v>78</v>
      </c>
      <c r="K21" s="59">
        <f>_xlfn.VAR.P(N3:N26)</f>
        <v>32.972222222222221</v>
      </c>
      <c r="M21" s="26">
        <v>19</v>
      </c>
      <c r="N21" s="26">
        <v>25</v>
      </c>
      <c r="O21" s="17"/>
    </row>
    <row r="22" spans="7:15" x14ac:dyDescent="0.3">
      <c r="G22" s="2" t="s">
        <v>2</v>
      </c>
      <c r="H22">
        <v>24</v>
      </c>
      <c r="J22" s="79" t="s">
        <v>79</v>
      </c>
      <c r="K22" s="59">
        <f>SQRT(K21)</f>
        <v>5.7421443923174049</v>
      </c>
      <c r="M22" s="26">
        <v>20</v>
      </c>
      <c r="N22" s="26">
        <v>25</v>
      </c>
      <c r="O22" s="17"/>
    </row>
    <row r="23" spans="7:15" x14ac:dyDescent="0.3">
      <c r="J23" s="79"/>
      <c r="K23" s="68">
        <f>_xlfn.STDEV.P(N3:N26)</f>
        <v>5.7421443923174049</v>
      </c>
      <c r="M23" s="26">
        <v>21</v>
      </c>
      <c r="N23" s="26">
        <v>25</v>
      </c>
      <c r="O23" s="17"/>
    </row>
    <row r="24" spans="7:15" ht="15" thickBot="1" x14ac:dyDescent="0.35">
      <c r="J24" s="80"/>
      <c r="K24" s="69">
        <f>_xlfn.STDEV.S(N3:N26)</f>
        <v>5.8656454974239027</v>
      </c>
      <c r="M24" s="26">
        <v>22</v>
      </c>
      <c r="N24" s="26">
        <v>30</v>
      </c>
      <c r="O24" s="17"/>
    </row>
    <row r="25" spans="7:15" x14ac:dyDescent="0.3">
      <c r="M25" s="26">
        <v>23</v>
      </c>
      <c r="N25" s="26">
        <v>30</v>
      </c>
      <c r="O25" s="17"/>
    </row>
    <row r="26" spans="7:15" x14ac:dyDescent="0.3">
      <c r="M26" s="26">
        <v>24</v>
      </c>
      <c r="N26" s="26">
        <v>31</v>
      </c>
      <c r="O26" s="17"/>
    </row>
  </sheetData>
  <mergeCells count="1">
    <mergeCell ref="J22:J24"/>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8827-E33C-4202-BBB9-84AA56A11E50}">
  <dimension ref="B9:C16"/>
  <sheetViews>
    <sheetView tabSelected="1" topLeftCell="A7" workbookViewId="0">
      <selection activeCell="L27" sqref="L27"/>
    </sheetView>
  </sheetViews>
  <sheetFormatPr defaultRowHeight="14.4" x14ac:dyDescent="0.3"/>
  <cols>
    <col min="2" max="2" width="13.6640625" customWidth="1"/>
    <col min="3" max="3" width="18.77734375" bestFit="1" customWidth="1"/>
  </cols>
  <sheetData>
    <row r="9" spans="2:3" x14ac:dyDescent="0.3">
      <c r="B9" s="26" t="s">
        <v>92</v>
      </c>
      <c r="C9" s="26" t="s">
        <v>93</v>
      </c>
    </row>
    <row r="10" spans="2:3" x14ac:dyDescent="0.3">
      <c r="B10" s="26">
        <v>9.6999999999999993</v>
      </c>
      <c r="C10" s="26">
        <v>51.84</v>
      </c>
    </row>
    <row r="11" spans="2:3" x14ac:dyDescent="0.3">
      <c r="B11" s="26">
        <v>10.199999999999999</v>
      </c>
      <c r="C11" s="26">
        <v>53.04</v>
      </c>
    </row>
    <row r="12" spans="2:3" x14ac:dyDescent="0.3">
      <c r="B12" s="26">
        <v>12.4</v>
      </c>
      <c r="C12" s="26">
        <v>56.64</v>
      </c>
    </row>
    <row r="13" spans="2:3" x14ac:dyDescent="0.3">
      <c r="B13" s="26">
        <v>13.6</v>
      </c>
      <c r="C13" s="26">
        <v>60.24</v>
      </c>
    </row>
    <row r="14" spans="2:3" x14ac:dyDescent="0.3">
      <c r="B14" s="26">
        <v>9.8000000000000007</v>
      </c>
      <c r="C14" s="26">
        <v>53.76</v>
      </c>
    </row>
    <row r="15" spans="2:3" x14ac:dyDescent="0.3">
      <c r="B15" s="26">
        <v>11.2</v>
      </c>
      <c r="C15" s="26">
        <v>57.36</v>
      </c>
    </row>
    <row r="16" spans="2:3" x14ac:dyDescent="0.3">
      <c r="B16" s="26">
        <v>14.1</v>
      </c>
      <c r="C16" s="26">
        <v>61.92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B1D098-A742-480C-A46B-D01E517226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Ex_4</vt:lpstr>
      <vt:lpstr>Ex_5</vt:lpstr>
      <vt:lpstr>Ex_6</vt:lpstr>
      <vt:lpstr>Ex_7, 8</vt:lpstr>
      <vt:lpstr>Ex_9, 10</vt:lpstr>
      <vt:lpstr>QUIZ</vt:lpstr>
      <vt:lpstr>Ex_12</vt:lpstr>
      <vt:lpstr>Ex_13</vt:lpstr>
      <vt:lpstr>Ex_14</vt:lpstr>
      <vt:lpstr>Ex_15</vt:lpstr>
      <vt:lpstr>Ex_16</vt:lpstr>
      <vt:lpstr>Ex_27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José Angel Covo</dc:creator>
  <cp:lastModifiedBy>Alvaro José Angel Covo</cp:lastModifiedBy>
  <dcterms:created xsi:type="dcterms:W3CDTF">2023-05-15T14:15:37Z</dcterms:created>
  <dcterms:modified xsi:type="dcterms:W3CDTF">2023-05-22T18:43:41Z</dcterms:modified>
</cp:coreProperties>
</file>